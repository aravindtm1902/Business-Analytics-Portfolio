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272C0AD5BBB71447/Documents/"/>
    </mc:Choice>
  </mc:AlternateContent>
  <xr:revisionPtr revIDLastSave="559" documentId="8_{85646D57-B480-446C-BC81-968D4D28BF2C}" xr6:coauthVersionLast="47" xr6:coauthVersionMax="47" xr10:uidLastSave="{B808DC23-F399-4527-BC2D-951C95BD5B3B}"/>
  <bookViews>
    <workbookView xWindow="-96" yWindow="0" windowWidth="11712" windowHeight="12336" firstSheet="5" activeTab="6" xr2:uid="{00000000-000D-0000-FFFF-FFFF00000000}"/>
  </bookViews>
  <sheets>
    <sheet name="Product_Sheet" sheetId="14" state="hidden" r:id="rId1"/>
    <sheet name="Region_Sheet" sheetId="15" state="hidden" r:id="rId2"/>
    <sheet name="Sales_Data" sheetId="1" r:id="rId3"/>
    <sheet name="Summary" sheetId="2" r:id="rId4"/>
    <sheet name="Monthly _Sales_Trend" sheetId="4" r:id="rId5"/>
    <sheet name="Cost_vs_Sales" sheetId="9" r:id="rId6"/>
    <sheet name="Monthly_Profit_Trend" sheetId="5" r:id="rId7"/>
    <sheet name="Region_Profit_Analysis" sheetId="6" r:id="rId8"/>
    <sheet name="Product_Performance" sheetId="7" r:id="rId9"/>
    <sheet name="Sales_Category_Distribution" sheetId="8" r:id="rId10"/>
    <sheet name="Sales_Dashboard" sheetId="13" r:id="rId11"/>
  </sheets>
  <definedNames>
    <definedName name="Slicer_Month">#N/A</definedName>
    <definedName name="Slicer_Product">#N/A</definedName>
    <definedName name="Slicer_Reg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 i="4" l="1"/>
  <c r="I9" i="4" s="1"/>
  <c r="I10" i="4" s="1"/>
  <c r="C26" i="4"/>
  <c r="C25" i="4"/>
  <c r="C24" i="4"/>
  <c r="C23" i="4"/>
  <c r="C5" i="4"/>
  <c r="C6" i="4"/>
  <c r="C7" i="4"/>
  <c r="C4" i="4"/>
  <c r="F3" i="13"/>
  <c r="E3" i="13"/>
  <c r="D3" i="13"/>
  <c r="C3" i="13"/>
  <c r="B3" i="13"/>
  <c r="G19" i="1"/>
  <c r="G38" i="1"/>
  <c r="G17" i="1"/>
  <c r="G23" i="1"/>
  <c r="G14" i="1"/>
  <c r="G32" i="1"/>
  <c r="G44" i="1"/>
  <c r="G15" i="1"/>
  <c r="G16" i="1"/>
  <c r="G21" i="1"/>
  <c r="G34" i="1"/>
  <c r="G46" i="1"/>
  <c r="G42" i="1"/>
  <c r="G22" i="1"/>
  <c r="G26" i="1"/>
  <c r="G11" i="1"/>
  <c r="G20" i="1"/>
  <c r="G45" i="1"/>
  <c r="G6" i="1"/>
  <c r="G31" i="1"/>
  <c r="G18" i="1"/>
  <c r="G24" i="1"/>
  <c r="G50" i="1"/>
  <c r="G3" i="1"/>
  <c r="G36" i="1"/>
  <c r="G47" i="1"/>
  <c r="G10" i="1"/>
  <c r="G9" i="1"/>
  <c r="G41" i="1"/>
  <c r="G4" i="1"/>
  <c r="G51" i="1"/>
  <c r="G8" i="1"/>
  <c r="G49" i="1"/>
  <c r="G25" i="1"/>
  <c r="G30" i="1"/>
  <c r="G12" i="1"/>
  <c r="G29" i="1"/>
  <c r="G37" i="1"/>
  <c r="G40" i="1"/>
  <c r="G35" i="1"/>
  <c r="G7" i="1"/>
  <c r="G28" i="1"/>
  <c r="G48" i="1"/>
  <c r="G39" i="1"/>
  <c r="G33" i="1"/>
  <c r="G43" i="1"/>
  <c r="G2" i="1"/>
  <c r="G13" i="1"/>
  <c r="G5" i="1"/>
  <c r="G27" i="1"/>
  <c r="B5" i="2"/>
  <c r="B3" i="2"/>
  <c r="B2" i="2"/>
  <c r="B6" i="2" l="1"/>
  <c r="B4" i="2"/>
</calcChain>
</file>

<file path=xl/sharedStrings.xml><?xml version="1.0" encoding="utf-8"?>
<sst xmlns="http://schemas.openxmlformats.org/spreadsheetml/2006/main" count="253" uniqueCount="50">
  <si>
    <t>Month</t>
  </si>
  <si>
    <t>Region</t>
  </si>
  <si>
    <t>Product</t>
  </si>
  <si>
    <t>Sales</t>
  </si>
  <si>
    <t>Cost</t>
  </si>
  <si>
    <t>Profit</t>
  </si>
  <si>
    <t>Jan</t>
  </si>
  <si>
    <t>East</t>
  </si>
  <si>
    <t>Product B</t>
  </si>
  <si>
    <t>May</t>
  </si>
  <si>
    <t>North</t>
  </si>
  <si>
    <t>Product A</t>
  </si>
  <si>
    <t>Mar</t>
  </si>
  <si>
    <t>Jun</t>
  </si>
  <si>
    <t>Feb</t>
  </si>
  <si>
    <t>West</t>
  </si>
  <si>
    <t>Product C</t>
  </si>
  <si>
    <t>Apr</t>
  </si>
  <si>
    <t>South</t>
  </si>
  <si>
    <t>Metric</t>
  </si>
  <si>
    <t>Value</t>
  </si>
  <si>
    <t>Total Sales</t>
  </si>
  <si>
    <t>Total Profit</t>
  </si>
  <si>
    <t>Profit Margin</t>
  </si>
  <si>
    <t>Cost Ratio</t>
  </si>
  <si>
    <t>Total Cost</t>
  </si>
  <si>
    <t>Sales Category</t>
  </si>
  <si>
    <t>Row Labels</t>
  </si>
  <si>
    <t>Grand Total</t>
  </si>
  <si>
    <t>Sum of Sales</t>
  </si>
  <si>
    <t>Sum of Profit</t>
  </si>
  <si>
    <t>High</t>
  </si>
  <si>
    <t>Low</t>
  </si>
  <si>
    <t>Medium</t>
  </si>
  <si>
    <t>Count of Sales Category</t>
  </si>
  <si>
    <t>Sum of Cost</t>
  </si>
  <si>
    <t>Best Product</t>
  </si>
  <si>
    <t>Best Region</t>
  </si>
  <si>
    <t>Avg Profit %</t>
  </si>
  <si>
    <t>Count of Product</t>
  </si>
  <si>
    <t>3 Month Moving Average</t>
  </si>
  <si>
    <t>Used a 3-month moving average to smooth sales fluctuations and identify the underlying trend for short-term planning.</t>
  </si>
  <si>
    <t>Month Number</t>
  </si>
  <si>
    <t>Aug</t>
  </si>
  <si>
    <t>Sep</t>
  </si>
  <si>
    <t>Jul</t>
  </si>
  <si>
    <t>Actual</t>
  </si>
  <si>
    <t>FORECAST</t>
  </si>
  <si>
    <t>Actual Sales</t>
  </si>
  <si>
    <t>Forecast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</si>
</sst>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30"/>
      <color theme="1"/>
      <name val="Calibri"/>
      <family val="2"/>
      <scheme val="minor"/>
    </font>
    <font>
      <b/>
      <sz val="30"/>
      <color theme="1"/>
      <name val="Calibri"/>
      <family val="2"/>
      <scheme val="minor"/>
    </font>
    <font>
      <b/>
      <sz val="16"/>
      <color theme="1"/>
      <name val="Calibri"/>
      <family val="2"/>
      <scheme val="minor"/>
    </font>
    <font>
      <sz val="8"/>
      <name val="Calibri"/>
      <family val="2"/>
      <scheme val="minor"/>
    </font>
    <font>
      <b/>
      <sz val="11"/>
      <color rgb="FFFF0000"/>
      <name val="Calibri"/>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2" fillId="0" borderId="0" xfId="0" applyFont="1"/>
    <xf numFmtId="10" fontId="0" fillId="0" borderId="0" xfId="1" applyNumberFormat="1" applyFon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0" fontId="3" fillId="2" borderId="1" xfId="0"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10" fontId="4" fillId="2" borderId="2" xfId="1"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0" borderId="0" xfId="0" applyFont="1"/>
    <xf numFmtId="0" fontId="7" fillId="0" borderId="0" xfId="0" applyFont="1"/>
    <xf numFmtId="164" fontId="7" fillId="0" borderId="0" xfId="0" applyNumberFormat="1" applyFont="1"/>
    <xf numFmtId="0" fontId="2" fillId="0" borderId="0" xfId="0" applyFont="1" applyAlignment="1">
      <alignment horizontal="center" vertical="center"/>
    </xf>
    <xf numFmtId="0" fontId="7" fillId="0" borderId="0" xfId="0" applyFont="1" applyAlignment="1">
      <alignment horizontal="center" vertical="center"/>
    </xf>
  </cellXfs>
  <cellStyles count="2">
    <cellStyle name="Normal" xfId="0" builtinId="0"/>
    <cellStyle name="Percent" xfId="1" builtinId="5"/>
  </cellStyles>
  <dxfs count="7">
    <dxf>
      <numFmt numFmtId="164" formatCode="&quot;₹&quot;\ #,##0.0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4" formatCode="&quot;₹&quot;\ #,##0.00"/>
    </dxf>
    <dxf>
      <numFmt numFmtId="164" formatCode="&quot;₹&quot;\ #,##0.00"/>
    </dxf>
    <dxf>
      <numFmt numFmtId="164" formatCode="&quot;₹&quot;\ #,##0.00"/>
    </dxf>
    <dxf>
      <numFmt numFmtId="164"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_Sales_Trend'!$A$21:$A$26</c:f>
              <c:strCache>
                <c:ptCount val="6"/>
                <c:pt idx="0">
                  <c:v>Jan</c:v>
                </c:pt>
                <c:pt idx="1">
                  <c:v>Feb</c:v>
                </c:pt>
                <c:pt idx="2">
                  <c:v>Mar</c:v>
                </c:pt>
                <c:pt idx="3">
                  <c:v>Apr</c:v>
                </c:pt>
                <c:pt idx="4">
                  <c:v>May</c:v>
                </c:pt>
                <c:pt idx="5">
                  <c:v>Jun</c:v>
                </c:pt>
              </c:strCache>
            </c:strRef>
          </c:cat>
          <c:val>
            <c:numRef>
              <c:f>'Monthly _Sales_Trend'!$B$21:$B$26</c:f>
              <c:numCache>
                <c:formatCode>"₹"\ #,##0.00</c:formatCode>
                <c:ptCount val="6"/>
                <c:pt idx="0">
                  <c:v>319618</c:v>
                </c:pt>
                <c:pt idx="1">
                  <c:v>278262</c:v>
                </c:pt>
                <c:pt idx="2">
                  <c:v>412137</c:v>
                </c:pt>
                <c:pt idx="3">
                  <c:v>544753</c:v>
                </c:pt>
                <c:pt idx="4">
                  <c:v>554221</c:v>
                </c:pt>
                <c:pt idx="5">
                  <c:v>404296</c:v>
                </c:pt>
              </c:numCache>
            </c:numRef>
          </c:val>
          <c:smooth val="0"/>
          <c:extLst>
            <c:ext xmlns:c16="http://schemas.microsoft.com/office/drawing/2014/chart" uri="{C3380CC4-5D6E-409C-BE32-E72D297353CC}">
              <c16:uniqueId val="{00000000-4595-4595-A04A-C2130F80DCC7}"/>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_Sales_Trend'!$A$21:$A$26</c:f>
              <c:strCache>
                <c:ptCount val="6"/>
                <c:pt idx="0">
                  <c:v>Jan</c:v>
                </c:pt>
                <c:pt idx="1">
                  <c:v>Feb</c:v>
                </c:pt>
                <c:pt idx="2">
                  <c:v>Mar</c:v>
                </c:pt>
                <c:pt idx="3">
                  <c:v>Apr</c:v>
                </c:pt>
                <c:pt idx="4">
                  <c:v>May</c:v>
                </c:pt>
                <c:pt idx="5">
                  <c:v>Jun</c:v>
                </c:pt>
              </c:strCache>
            </c:strRef>
          </c:cat>
          <c:val>
            <c:numRef>
              <c:f>'Monthly _Sales_Trend'!$C$21:$C$26</c:f>
              <c:numCache>
                <c:formatCode>General</c:formatCode>
                <c:ptCount val="6"/>
                <c:pt idx="2" formatCode="&quot;₹&quot;\ #,##0.00">
                  <c:v>336672.33333333331</c:v>
                </c:pt>
                <c:pt idx="3" formatCode="&quot;₹&quot;\ #,##0.00">
                  <c:v>411717.33333333331</c:v>
                </c:pt>
                <c:pt idx="4" formatCode="&quot;₹&quot;\ #,##0.00">
                  <c:v>503703.66666666669</c:v>
                </c:pt>
                <c:pt idx="5" formatCode="&quot;₹&quot;\ #,##0.00">
                  <c:v>501090</c:v>
                </c:pt>
              </c:numCache>
            </c:numRef>
          </c:val>
          <c:smooth val="0"/>
          <c:extLst>
            <c:ext xmlns:c16="http://schemas.microsoft.com/office/drawing/2014/chart" uri="{C3380CC4-5D6E-409C-BE32-E72D297353CC}">
              <c16:uniqueId val="{00000001-4595-4595-A04A-C2130F80DCC7}"/>
            </c:ext>
          </c:extLst>
        </c:ser>
        <c:dLbls>
          <c:showLegendKey val="0"/>
          <c:showVal val="0"/>
          <c:showCatName val="0"/>
          <c:showSerName val="0"/>
          <c:showPercent val="0"/>
          <c:showBubbleSize val="0"/>
        </c:dLbls>
        <c:marker val="1"/>
        <c:smooth val="0"/>
        <c:axId val="20583120"/>
        <c:axId val="20583600"/>
      </c:lineChart>
      <c:catAx>
        <c:axId val="2058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3600"/>
        <c:crosses val="autoZero"/>
        <c:auto val="1"/>
        <c:lblAlgn val="ctr"/>
        <c:lblOffset val="100"/>
        <c:noMultiLvlLbl val="0"/>
      </c:catAx>
      <c:valAx>
        <c:axId val="20583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3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Trend with Linear Forecast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_Sales_Trend'!$F$2:$F$10</c:f>
              <c:strCache>
                <c:ptCount val="9"/>
                <c:pt idx="0">
                  <c:v>Jan</c:v>
                </c:pt>
                <c:pt idx="1">
                  <c:v>Feb</c:v>
                </c:pt>
                <c:pt idx="2">
                  <c:v>Mar</c:v>
                </c:pt>
                <c:pt idx="3">
                  <c:v>Apr</c:v>
                </c:pt>
                <c:pt idx="4">
                  <c:v>May</c:v>
                </c:pt>
                <c:pt idx="5">
                  <c:v>Jun</c:v>
                </c:pt>
                <c:pt idx="6">
                  <c:v>Jul</c:v>
                </c:pt>
                <c:pt idx="7">
                  <c:v>Aug</c:v>
                </c:pt>
                <c:pt idx="8">
                  <c:v>Sep</c:v>
                </c:pt>
              </c:strCache>
            </c:strRef>
          </c:cat>
          <c:val>
            <c:numRef>
              <c:f>'Monthly _Sales_Trend'!$H$2:$H$10</c:f>
              <c:numCache>
                <c:formatCode>"₹"\ #,##0.00</c:formatCode>
                <c:ptCount val="9"/>
                <c:pt idx="0">
                  <c:v>319618</c:v>
                </c:pt>
                <c:pt idx="1">
                  <c:v>278262</c:v>
                </c:pt>
                <c:pt idx="2">
                  <c:v>412137</c:v>
                </c:pt>
                <c:pt idx="3">
                  <c:v>544753</c:v>
                </c:pt>
                <c:pt idx="4">
                  <c:v>554221</c:v>
                </c:pt>
                <c:pt idx="5">
                  <c:v>404296</c:v>
                </c:pt>
              </c:numCache>
            </c:numRef>
          </c:val>
          <c:smooth val="0"/>
          <c:extLst>
            <c:ext xmlns:c16="http://schemas.microsoft.com/office/drawing/2014/chart" uri="{C3380CC4-5D6E-409C-BE32-E72D297353CC}">
              <c16:uniqueId val="{00000000-E44E-44ED-9EA6-20CB97F53277}"/>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_Sales_Trend'!$F$2:$F$10</c:f>
              <c:strCache>
                <c:ptCount val="9"/>
                <c:pt idx="0">
                  <c:v>Jan</c:v>
                </c:pt>
                <c:pt idx="1">
                  <c:v>Feb</c:v>
                </c:pt>
                <c:pt idx="2">
                  <c:v>Mar</c:v>
                </c:pt>
                <c:pt idx="3">
                  <c:v>Apr</c:v>
                </c:pt>
                <c:pt idx="4">
                  <c:v>May</c:v>
                </c:pt>
                <c:pt idx="5">
                  <c:v>Jun</c:v>
                </c:pt>
                <c:pt idx="6">
                  <c:v>Jul</c:v>
                </c:pt>
                <c:pt idx="7">
                  <c:v>Aug</c:v>
                </c:pt>
                <c:pt idx="8">
                  <c:v>Sep</c:v>
                </c:pt>
              </c:strCache>
            </c:strRef>
          </c:cat>
          <c:val>
            <c:numRef>
              <c:f>'Monthly _Sales_Trend'!$I$2:$I$10</c:f>
              <c:numCache>
                <c:formatCode>General</c:formatCode>
                <c:ptCount val="9"/>
                <c:pt idx="6" formatCode="&quot;₹&quot;\ #,##0.00">
                  <c:v>557269.46666666667</c:v>
                </c:pt>
                <c:pt idx="7" formatCode="&quot;₹&quot;\ #,##0.00">
                  <c:v>596394.6</c:v>
                </c:pt>
                <c:pt idx="8" formatCode="&quot;₹&quot;\ #,##0.00">
                  <c:v>472527</c:v>
                </c:pt>
              </c:numCache>
            </c:numRef>
          </c:val>
          <c:smooth val="0"/>
          <c:extLst>
            <c:ext xmlns:c16="http://schemas.microsoft.com/office/drawing/2014/chart" uri="{C3380CC4-5D6E-409C-BE32-E72D297353CC}">
              <c16:uniqueId val="{00000001-E44E-44ED-9EA6-20CB97F53277}"/>
            </c:ext>
          </c:extLst>
        </c:ser>
        <c:dLbls>
          <c:showLegendKey val="0"/>
          <c:showVal val="0"/>
          <c:showCatName val="0"/>
          <c:showSerName val="0"/>
          <c:showPercent val="0"/>
          <c:showBubbleSize val="0"/>
        </c:dLbls>
        <c:marker val="1"/>
        <c:smooth val="0"/>
        <c:axId val="240229631"/>
        <c:axId val="240247391"/>
      </c:lineChart>
      <c:catAx>
        <c:axId val="24022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247391"/>
        <c:crosses val="autoZero"/>
        <c:auto val="1"/>
        <c:lblAlgn val="ctr"/>
        <c:lblOffset val="100"/>
        <c:noMultiLvlLbl val="0"/>
      </c:catAx>
      <c:valAx>
        <c:axId val="240247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229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[Sales_Performance_Dashboard.xlsx]Monthly _Sales_Trend!PivotTable2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_Sales_Trend'!$B$1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_Sales_Trend'!$A$2:$A$8</c:f>
              <c:strCache>
                <c:ptCount val="6"/>
                <c:pt idx="0">
                  <c:v>Jan</c:v>
                </c:pt>
                <c:pt idx="1">
                  <c:v>Feb</c:v>
                </c:pt>
                <c:pt idx="2">
                  <c:v>Mar</c:v>
                </c:pt>
                <c:pt idx="3">
                  <c:v>Apr</c:v>
                </c:pt>
                <c:pt idx="4">
                  <c:v>May</c:v>
                </c:pt>
                <c:pt idx="5">
                  <c:v>Jun</c:v>
                </c:pt>
              </c:strCache>
            </c:strRef>
          </c:cat>
          <c:val>
            <c:numRef>
              <c:f>'Monthly _Sales_Trend'!$B$2:$B$8</c:f>
              <c:numCache>
                <c:formatCode>"₹"\ #,##0.00</c:formatCode>
                <c:ptCount val="6"/>
                <c:pt idx="0">
                  <c:v>319618</c:v>
                </c:pt>
                <c:pt idx="1">
                  <c:v>278262</c:v>
                </c:pt>
                <c:pt idx="2">
                  <c:v>412137</c:v>
                </c:pt>
                <c:pt idx="3">
                  <c:v>544753</c:v>
                </c:pt>
                <c:pt idx="4">
                  <c:v>554221</c:v>
                </c:pt>
                <c:pt idx="5">
                  <c:v>404296</c:v>
                </c:pt>
              </c:numCache>
            </c:numRef>
          </c:val>
          <c:smooth val="0"/>
          <c:extLst>
            <c:ext xmlns:c16="http://schemas.microsoft.com/office/drawing/2014/chart" uri="{C3380CC4-5D6E-409C-BE32-E72D297353CC}">
              <c16:uniqueId val="{00000000-3544-4F7B-829A-B4053192A613}"/>
            </c:ext>
          </c:extLst>
        </c:ser>
        <c:dLbls>
          <c:showLegendKey val="0"/>
          <c:showVal val="0"/>
          <c:showCatName val="0"/>
          <c:showSerName val="0"/>
          <c:showPercent val="0"/>
          <c:showBubbleSize val="0"/>
        </c:dLbls>
        <c:marker val="1"/>
        <c:smooth val="0"/>
        <c:axId val="2050496960"/>
        <c:axId val="2023835184"/>
      </c:lineChart>
      <c:catAx>
        <c:axId val="205049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835184"/>
        <c:crosses val="autoZero"/>
        <c:auto val="1"/>
        <c:lblAlgn val="ctr"/>
        <c:lblOffset val="100"/>
        <c:noMultiLvlLbl val="0"/>
      </c:catAx>
      <c:valAx>
        <c:axId val="20238351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49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[Sales_Performance_Dashboard.xlsx]Cost_vs_Sales!PivotTable7</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Cost_vs_Sales!$B$3</c:f>
              <c:strCache>
                <c:ptCount val="1"/>
                <c:pt idx="0">
                  <c:v>Sum of Cost</c:v>
                </c:pt>
              </c:strCache>
            </c:strRef>
          </c:tx>
          <c:spPr>
            <a:solidFill>
              <a:schemeClr val="accent1"/>
            </a:solidFill>
            <a:ln>
              <a:noFill/>
            </a:ln>
            <a:effectLst/>
          </c:spPr>
          <c:invertIfNegative val="0"/>
          <c:cat>
            <c:strRef>
              <c:f>Cost_vs_Sales!$A$4:$A$7</c:f>
              <c:strCache>
                <c:ptCount val="3"/>
                <c:pt idx="0">
                  <c:v>Product A</c:v>
                </c:pt>
                <c:pt idx="1">
                  <c:v>Product B</c:v>
                </c:pt>
                <c:pt idx="2">
                  <c:v>Product C</c:v>
                </c:pt>
              </c:strCache>
            </c:strRef>
          </c:cat>
          <c:val>
            <c:numRef>
              <c:f>Cost_vs_Sales!$B$4:$B$7</c:f>
              <c:numCache>
                <c:formatCode>"₹"\ #,##0.00</c:formatCode>
                <c:ptCount val="3"/>
                <c:pt idx="0">
                  <c:v>438046</c:v>
                </c:pt>
                <c:pt idx="1">
                  <c:v>516662</c:v>
                </c:pt>
                <c:pt idx="2">
                  <c:v>580474</c:v>
                </c:pt>
              </c:numCache>
            </c:numRef>
          </c:val>
          <c:extLst>
            <c:ext xmlns:c16="http://schemas.microsoft.com/office/drawing/2014/chart" uri="{C3380CC4-5D6E-409C-BE32-E72D297353CC}">
              <c16:uniqueId val="{00000000-FDC8-4FCF-B2A7-74FF14D1DC5D}"/>
            </c:ext>
          </c:extLst>
        </c:ser>
        <c:ser>
          <c:idx val="1"/>
          <c:order val="1"/>
          <c:tx>
            <c:strRef>
              <c:f>Cost_vs_Sales!$C$3</c:f>
              <c:strCache>
                <c:ptCount val="1"/>
                <c:pt idx="0">
                  <c:v>Sum of Sales</c:v>
                </c:pt>
              </c:strCache>
            </c:strRef>
          </c:tx>
          <c:spPr>
            <a:solidFill>
              <a:schemeClr val="accent2"/>
            </a:solidFill>
            <a:ln>
              <a:noFill/>
            </a:ln>
            <a:effectLst/>
          </c:spPr>
          <c:invertIfNegative val="0"/>
          <c:cat>
            <c:strRef>
              <c:f>Cost_vs_Sales!$A$4:$A$7</c:f>
              <c:strCache>
                <c:ptCount val="3"/>
                <c:pt idx="0">
                  <c:v>Product A</c:v>
                </c:pt>
                <c:pt idx="1">
                  <c:v>Product B</c:v>
                </c:pt>
                <c:pt idx="2">
                  <c:v>Product C</c:v>
                </c:pt>
              </c:strCache>
            </c:strRef>
          </c:cat>
          <c:val>
            <c:numRef>
              <c:f>Cost_vs_Sales!$C$4:$C$7</c:f>
              <c:numCache>
                <c:formatCode>"₹"\ #,##0.00</c:formatCode>
                <c:ptCount val="3"/>
                <c:pt idx="0">
                  <c:v>643361</c:v>
                </c:pt>
                <c:pt idx="1">
                  <c:v>866795</c:v>
                </c:pt>
                <c:pt idx="2">
                  <c:v>1003131</c:v>
                </c:pt>
              </c:numCache>
            </c:numRef>
          </c:val>
          <c:extLst>
            <c:ext xmlns:c16="http://schemas.microsoft.com/office/drawing/2014/chart" uri="{C3380CC4-5D6E-409C-BE32-E72D297353CC}">
              <c16:uniqueId val="{00000001-FDC8-4FCF-B2A7-74FF14D1DC5D}"/>
            </c:ext>
          </c:extLst>
        </c:ser>
        <c:dLbls>
          <c:showLegendKey val="0"/>
          <c:showVal val="0"/>
          <c:showCatName val="0"/>
          <c:showSerName val="0"/>
          <c:showPercent val="0"/>
          <c:showBubbleSize val="0"/>
        </c:dLbls>
        <c:gapWidth val="219"/>
        <c:overlap val="-27"/>
        <c:axId val="410260672"/>
        <c:axId val="410274112"/>
      </c:barChart>
      <c:catAx>
        <c:axId val="41026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274112"/>
        <c:crosses val="autoZero"/>
        <c:auto val="1"/>
        <c:lblAlgn val="ctr"/>
        <c:lblOffset val="100"/>
        <c:noMultiLvlLbl val="0"/>
      </c:catAx>
      <c:valAx>
        <c:axId val="4102741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26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[Sales_Performance_Dashboard.xlsx]Sales_Category_Distribution!PivotTable6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Category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Sales_Category_Distribution!$B$3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D4-4523-8F13-3A8B61D535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D4-4523-8F13-3A8B61D535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D4-4523-8F13-3A8B61D53508}"/>
              </c:ext>
            </c:extLst>
          </c:dPt>
          <c:cat>
            <c:strRef>
              <c:f>Sales_Category_Distribution!$A$4:$A$7</c:f>
              <c:strCache>
                <c:ptCount val="3"/>
                <c:pt idx="0">
                  <c:v>High</c:v>
                </c:pt>
                <c:pt idx="1">
                  <c:v>Low</c:v>
                </c:pt>
                <c:pt idx="2">
                  <c:v>Medium</c:v>
                </c:pt>
              </c:strCache>
            </c:strRef>
          </c:cat>
          <c:val>
            <c:numRef>
              <c:f>Sales_Category_Distribution!$B$4:$B$7</c:f>
              <c:numCache>
                <c:formatCode>General</c:formatCode>
                <c:ptCount val="3"/>
                <c:pt idx="0">
                  <c:v>15</c:v>
                </c:pt>
                <c:pt idx="1">
                  <c:v>15</c:v>
                </c:pt>
                <c:pt idx="2">
                  <c:v>20</c:v>
                </c:pt>
              </c:numCache>
            </c:numRef>
          </c:val>
          <c:extLst>
            <c:ext xmlns:c16="http://schemas.microsoft.com/office/drawing/2014/chart" uri="{C3380CC4-5D6E-409C-BE32-E72D297353CC}">
              <c16:uniqueId val="{00000006-BCD4-4523-8F13-3A8B61D5350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[Sales_Performance_Dashboard.xlsx]Product_Performance!PivotTable5</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Product_Performance!$B$3</c:f>
              <c:strCache>
                <c:ptCount val="1"/>
                <c:pt idx="0">
                  <c:v>Sum of Sales</c:v>
                </c:pt>
              </c:strCache>
            </c:strRef>
          </c:tx>
          <c:spPr>
            <a:solidFill>
              <a:schemeClr val="accent1"/>
            </a:solidFill>
            <a:ln>
              <a:noFill/>
            </a:ln>
            <a:effectLst/>
          </c:spPr>
          <c:invertIfNegative val="0"/>
          <c:cat>
            <c:strRef>
              <c:f>Product_Performance!$A$4:$A$7</c:f>
              <c:strCache>
                <c:ptCount val="3"/>
                <c:pt idx="0">
                  <c:v>Product A</c:v>
                </c:pt>
                <c:pt idx="1">
                  <c:v>Product B</c:v>
                </c:pt>
                <c:pt idx="2">
                  <c:v>Product C</c:v>
                </c:pt>
              </c:strCache>
            </c:strRef>
          </c:cat>
          <c:val>
            <c:numRef>
              <c:f>Product_Performance!$B$4:$B$7</c:f>
              <c:numCache>
                <c:formatCode>"₹"\ #,##0.00</c:formatCode>
                <c:ptCount val="3"/>
                <c:pt idx="0">
                  <c:v>643361</c:v>
                </c:pt>
                <c:pt idx="1">
                  <c:v>866795</c:v>
                </c:pt>
                <c:pt idx="2">
                  <c:v>1003131</c:v>
                </c:pt>
              </c:numCache>
            </c:numRef>
          </c:val>
          <c:extLst>
            <c:ext xmlns:c16="http://schemas.microsoft.com/office/drawing/2014/chart" uri="{C3380CC4-5D6E-409C-BE32-E72D297353CC}">
              <c16:uniqueId val="{00000000-2B02-4AD1-AEB1-494927319248}"/>
            </c:ext>
          </c:extLst>
        </c:ser>
        <c:ser>
          <c:idx val="1"/>
          <c:order val="1"/>
          <c:tx>
            <c:strRef>
              <c:f>Product_Performance!$C$3</c:f>
              <c:strCache>
                <c:ptCount val="1"/>
                <c:pt idx="0">
                  <c:v>Sum of Profit</c:v>
                </c:pt>
              </c:strCache>
            </c:strRef>
          </c:tx>
          <c:spPr>
            <a:solidFill>
              <a:schemeClr val="accent2"/>
            </a:solidFill>
            <a:ln>
              <a:noFill/>
            </a:ln>
            <a:effectLst/>
          </c:spPr>
          <c:invertIfNegative val="0"/>
          <c:cat>
            <c:strRef>
              <c:f>Product_Performance!$A$4:$A$7</c:f>
              <c:strCache>
                <c:ptCount val="3"/>
                <c:pt idx="0">
                  <c:v>Product A</c:v>
                </c:pt>
                <c:pt idx="1">
                  <c:v>Product B</c:v>
                </c:pt>
                <c:pt idx="2">
                  <c:v>Product C</c:v>
                </c:pt>
              </c:strCache>
            </c:strRef>
          </c:cat>
          <c:val>
            <c:numRef>
              <c:f>Product_Performance!$C$4:$C$7</c:f>
              <c:numCache>
                <c:formatCode>"₹"\ #,##0.00</c:formatCode>
                <c:ptCount val="3"/>
                <c:pt idx="0">
                  <c:v>205315</c:v>
                </c:pt>
                <c:pt idx="1">
                  <c:v>350133</c:v>
                </c:pt>
                <c:pt idx="2">
                  <c:v>422657</c:v>
                </c:pt>
              </c:numCache>
            </c:numRef>
          </c:val>
          <c:extLst>
            <c:ext xmlns:c16="http://schemas.microsoft.com/office/drawing/2014/chart" uri="{C3380CC4-5D6E-409C-BE32-E72D297353CC}">
              <c16:uniqueId val="{00000001-2B02-4AD1-AEB1-494927319248}"/>
            </c:ext>
          </c:extLst>
        </c:ser>
        <c:dLbls>
          <c:showLegendKey val="0"/>
          <c:showVal val="0"/>
          <c:showCatName val="0"/>
          <c:showSerName val="0"/>
          <c:showPercent val="0"/>
          <c:showBubbleSize val="0"/>
        </c:dLbls>
        <c:gapWidth val="219"/>
        <c:overlap val="-27"/>
        <c:axId val="410318272"/>
        <c:axId val="410318752"/>
      </c:barChart>
      <c:catAx>
        <c:axId val="41031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318752"/>
        <c:crosses val="autoZero"/>
        <c:auto val="1"/>
        <c:lblAlgn val="ctr"/>
        <c:lblOffset val="100"/>
        <c:noMultiLvlLbl val="0"/>
      </c:catAx>
      <c:valAx>
        <c:axId val="410318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31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[Sales_Performance_Dashboard.xlsx]Region_Profit_Analysis!PivotTable4</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Region_Profit_Analysis!$B$1</c:f>
              <c:strCache>
                <c:ptCount val="1"/>
                <c:pt idx="0">
                  <c:v>Total</c:v>
                </c:pt>
              </c:strCache>
            </c:strRef>
          </c:tx>
          <c:spPr>
            <a:solidFill>
              <a:schemeClr val="accent1"/>
            </a:solidFill>
            <a:ln>
              <a:noFill/>
            </a:ln>
            <a:effectLst/>
          </c:spPr>
          <c:invertIfNegative val="0"/>
          <c:cat>
            <c:strRef>
              <c:f>Region_Profit_Analysis!$A$2:$A$6</c:f>
              <c:strCache>
                <c:ptCount val="4"/>
                <c:pt idx="0">
                  <c:v>East</c:v>
                </c:pt>
                <c:pt idx="1">
                  <c:v>North</c:v>
                </c:pt>
                <c:pt idx="2">
                  <c:v>South</c:v>
                </c:pt>
                <c:pt idx="3">
                  <c:v>West</c:v>
                </c:pt>
              </c:strCache>
            </c:strRef>
          </c:cat>
          <c:val>
            <c:numRef>
              <c:f>Region_Profit_Analysis!$B$2:$B$6</c:f>
              <c:numCache>
                <c:formatCode>"₹"\ #,##0.00</c:formatCode>
                <c:ptCount val="4"/>
                <c:pt idx="0">
                  <c:v>229856</c:v>
                </c:pt>
                <c:pt idx="1">
                  <c:v>222985</c:v>
                </c:pt>
                <c:pt idx="2">
                  <c:v>315559</c:v>
                </c:pt>
                <c:pt idx="3">
                  <c:v>209705</c:v>
                </c:pt>
              </c:numCache>
            </c:numRef>
          </c:val>
          <c:extLst>
            <c:ext xmlns:c16="http://schemas.microsoft.com/office/drawing/2014/chart" uri="{C3380CC4-5D6E-409C-BE32-E72D297353CC}">
              <c16:uniqueId val="{00000000-AE8C-4B29-A867-0F1FBE495376}"/>
            </c:ext>
          </c:extLst>
        </c:ser>
        <c:dLbls>
          <c:showLegendKey val="0"/>
          <c:showVal val="0"/>
          <c:showCatName val="0"/>
          <c:showSerName val="0"/>
          <c:showPercent val="0"/>
          <c:showBubbleSize val="0"/>
        </c:dLbls>
        <c:gapWidth val="182"/>
        <c:axId val="410319712"/>
        <c:axId val="410312032"/>
      </c:barChart>
      <c:catAx>
        <c:axId val="410319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312032"/>
        <c:crosses val="autoZero"/>
        <c:auto val="1"/>
        <c:lblAlgn val="ctr"/>
        <c:lblOffset val="100"/>
        <c:noMultiLvlLbl val="0"/>
      </c:catAx>
      <c:valAx>
        <c:axId val="4103120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31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[Sales_Performance_Dashboard.xlsx]Monthly_Profit_Trend!PivotTable3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Monthly_Profit_Trend!$B$1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Monthly_Profit_Trend!$A$2:$A$8</c:f>
              <c:strCache>
                <c:ptCount val="6"/>
                <c:pt idx="0">
                  <c:v>Jan</c:v>
                </c:pt>
                <c:pt idx="1">
                  <c:v>Feb</c:v>
                </c:pt>
                <c:pt idx="2">
                  <c:v>Mar</c:v>
                </c:pt>
                <c:pt idx="3">
                  <c:v>Apr</c:v>
                </c:pt>
                <c:pt idx="4">
                  <c:v>May</c:v>
                </c:pt>
                <c:pt idx="5">
                  <c:v>Jun</c:v>
                </c:pt>
              </c:strCache>
            </c:strRef>
          </c:cat>
          <c:val>
            <c:numRef>
              <c:f>Monthly_Profit_Trend!$B$2:$B$8</c:f>
              <c:numCache>
                <c:formatCode>"₹"\ #,##0.00</c:formatCode>
                <c:ptCount val="6"/>
                <c:pt idx="0">
                  <c:v>105824</c:v>
                </c:pt>
                <c:pt idx="1">
                  <c:v>107824</c:v>
                </c:pt>
                <c:pt idx="2">
                  <c:v>188625</c:v>
                </c:pt>
                <c:pt idx="3">
                  <c:v>185395</c:v>
                </c:pt>
                <c:pt idx="4">
                  <c:v>208737</c:v>
                </c:pt>
                <c:pt idx="5">
                  <c:v>181700</c:v>
                </c:pt>
              </c:numCache>
            </c:numRef>
          </c:val>
          <c:smooth val="0"/>
          <c:extLst>
            <c:ext xmlns:c16="http://schemas.microsoft.com/office/drawing/2014/chart" uri="{C3380CC4-5D6E-409C-BE32-E72D297353CC}">
              <c16:uniqueId val="{00000000-170A-42A4-815A-2876E18385E0}"/>
            </c:ext>
          </c:extLst>
        </c:ser>
        <c:dLbls>
          <c:showLegendKey val="0"/>
          <c:showVal val="0"/>
          <c:showCatName val="0"/>
          <c:showSerName val="0"/>
          <c:showPercent val="0"/>
          <c:showBubbleSize val="0"/>
        </c:dLbls>
        <c:marker val="1"/>
        <c:smooth val="0"/>
        <c:axId val="2050465280"/>
        <c:axId val="2050463360"/>
      </c:lineChart>
      <c:catAx>
        <c:axId val="205046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463360"/>
        <c:crosses val="autoZero"/>
        <c:auto val="1"/>
        <c:lblAlgn val="ctr"/>
        <c:lblOffset val="100"/>
        <c:noMultiLvlLbl val="0"/>
      </c:catAx>
      <c:valAx>
        <c:axId val="20504633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46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171450</xdr:rowOff>
    </xdr:from>
    <xdr:to>
      <xdr:col>5</xdr:col>
      <xdr:colOff>99060</xdr:colOff>
      <xdr:row>40</xdr:row>
      <xdr:rowOff>171450</xdr:rowOff>
    </xdr:to>
    <xdr:graphicFrame macro="">
      <xdr:nvGraphicFramePr>
        <xdr:cNvPr id="10" name="Chart 9">
          <a:extLst>
            <a:ext uri="{FF2B5EF4-FFF2-40B4-BE49-F238E27FC236}">
              <a16:creationId xmlns:a16="http://schemas.microsoft.com/office/drawing/2014/main" id="{AFC7A038-036F-85FE-37E0-99213640BC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21771</xdr:colOff>
      <xdr:row>10</xdr:row>
      <xdr:rowOff>10886</xdr:rowOff>
    </xdr:from>
    <xdr:to>
      <xdr:col>9</xdr:col>
      <xdr:colOff>0</xdr:colOff>
      <xdr:row>24</xdr:row>
      <xdr:rowOff>163286</xdr:rowOff>
    </xdr:to>
    <xdr:graphicFrame macro="">
      <xdr:nvGraphicFramePr>
        <xdr:cNvPr id="2" name="Chart 1">
          <a:extLst>
            <a:ext uri="{FF2B5EF4-FFF2-40B4-BE49-F238E27FC236}">
              <a16:creationId xmlns:a16="http://schemas.microsoft.com/office/drawing/2014/main" id="{EAA59793-EC34-582D-8F79-CAFA571E51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581527</xdr:colOff>
      <xdr:row>3</xdr:row>
      <xdr:rowOff>1</xdr:rowOff>
    </xdr:from>
    <xdr:to>
      <xdr:col>2</xdr:col>
      <xdr:colOff>1113536</xdr:colOff>
      <xdr:row>17</xdr:row>
      <xdr:rowOff>66801</xdr:rowOff>
    </xdr:to>
    <xdr:graphicFrame macro="">
      <xdr:nvGraphicFramePr>
        <xdr:cNvPr id="2" name="Chart 1">
          <a:extLst>
            <a:ext uri="{FF2B5EF4-FFF2-40B4-BE49-F238E27FC236}">
              <a16:creationId xmlns:a16="http://schemas.microsoft.com/office/drawing/2014/main" id="{7E34170C-115A-40EA-A2BA-69B6384B1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581527</xdr:colOff>
      <xdr:row>17</xdr:row>
      <xdr:rowOff>120315</xdr:rowOff>
    </xdr:from>
    <xdr:to>
      <xdr:col>2</xdr:col>
      <xdr:colOff>1143001</xdr:colOff>
      <xdr:row>32</xdr:row>
      <xdr:rowOff>153315</xdr:rowOff>
    </xdr:to>
    <xdr:graphicFrame macro="">
      <xdr:nvGraphicFramePr>
        <xdr:cNvPr id="3" name="Chart 2">
          <a:extLst>
            <a:ext uri="{FF2B5EF4-FFF2-40B4-BE49-F238E27FC236}">
              <a16:creationId xmlns:a16="http://schemas.microsoft.com/office/drawing/2014/main" id="{489D9CF4-2EAC-441D-8767-8BD8F76B6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1122948</xdr:colOff>
      <xdr:row>3</xdr:row>
      <xdr:rowOff>0</xdr:rowOff>
    </xdr:from>
    <xdr:to>
      <xdr:col>4</xdr:col>
      <xdr:colOff>802105</xdr:colOff>
      <xdr:row>17</xdr:row>
      <xdr:rowOff>66800</xdr:rowOff>
    </xdr:to>
    <xdr:graphicFrame macro="">
      <xdr:nvGraphicFramePr>
        <xdr:cNvPr id="4" name="Chart 3">
          <a:extLst>
            <a:ext uri="{FF2B5EF4-FFF2-40B4-BE49-F238E27FC236}">
              <a16:creationId xmlns:a16="http://schemas.microsoft.com/office/drawing/2014/main" id="{47DEC938-9126-4443-BD6C-CCC65A1D9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1122948</xdr:colOff>
      <xdr:row>17</xdr:row>
      <xdr:rowOff>120315</xdr:rowOff>
    </xdr:from>
    <xdr:to>
      <xdr:col>4</xdr:col>
      <xdr:colOff>802105</xdr:colOff>
      <xdr:row>32</xdr:row>
      <xdr:rowOff>153315</xdr:rowOff>
    </xdr:to>
    <xdr:graphicFrame macro="">
      <xdr:nvGraphicFramePr>
        <xdr:cNvPr id="5" name="Chart 4">
          <a:extLst>
            <a:ext uri="{FF2B5EF4-FFF2-40B4-BE49-F238E27FC236}">
              <a16:creationId xmlns:a16="http://schemas.microsoft.com/office/drawing/2014/main" id="{11F01589-E802-49A1-99AA-FFE45576C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802105</xdr:colOff>
      <xdr:row>3</xdr:row>
      <xdr:rowOff>0</xdr:rowOff>
    </xdr:from>
    <xdr:to>
      <xdr:col>6</xdr:col>
      <xdr:colOff>40105</xdr:colOff>
      <xdr:row>17</xdr:row>
      <xdr:rowOff>66800</xdr:rowOff>
    </xdr:to>
    <xdr:graphicFrame macro="">
      <xdr:nvGraphicFramePr>
        <xdr:cNvPr id="6" name="Chart 5">
          <a:extLst>
            <a:ext uri="{FF2B5EF4-FFF2-40B4-BE49-F238E27FC236}">
              <a16:creationId xmlns:a16="http://schemas.microsoft.com/office/drawing/2014/main" id="{338E5BF5-3EE6-415B-956F-FBA434CB4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803189</xdr:colOff>
      <xdr:row>17</xdr:row>
      <xdr:rowOff>110868</xdr:rowOff>
    </xdr:from>
    <xdr:to>
      <xdr:col>6</xdr:col>
      <xdr:colOff>20595</xdr:colOff>
      <xdr:row>32</xdr:row>
      <xdr:rowOff>143868</xdr:rowOff>
    </xdr:to>
    <xdr:graphicFrame macro="">
      <xdr:nvGraphicFramePr>
        <xdr:cNvPr id="7" name="Chart 6">
          <a:extLst>
            <a:ext uri="{FF2B5EF4-FFF2-40B4-BE49-F238E27FC236}">
              <a16:creationId xmlns:a16="http://schemas.microsoft.com/office/drawing/2014/main" id="{110ECB46-201A-4A9E-8EE1-812EA10D0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26276</xdr:colOff>
      <xdr:row>1</xdr:row>
      <xdr:rowOff>26277</xdr:rowOff>
    </xdr:from>
    <xdr:to>
      <xdr:col>10</xdr:col>
      <xdr:colOff>93008</xdr:colOff>
      <xdr:row>3</xdr:row>
      <xdr:rowOff>52552</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54C0441-4829-4C4A-B905-24131FB710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872374" y="212131"/>
              <a:ext cx="2520000" cy="34273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55755</xdr:colOff>
      <xdr:row>3</xdr:row>
      <xdr:rowOff>55756</xdr:rowOff>
    </xdr:from>
    <xdr:to>
      <xdr:col>10</xdr:col>
      <xdr:colOff>92926</xdr:colOff>
      <xdr:row>20</xdr:row>
      <xdr:rowOff>167268</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ABC3DE94-2AEC-4BE9-9BDF-040A0E4F28D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901853" y="3642732"/>
              <a:ext cx="2490439" cy="3271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37170</xdr:colOff>
      <xdr:row>20</xdr:row>
      <xdr:rowOff>148683</xdr:rowOff>
    </xdr:from>
    <xdr:to>
      <xdr:col>10</xdr:col>
      <xdr:colOff>74341</xdr:colOff>
      <xdr:row>32</xdr:row>
      <xdr:rowOff>92926</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EAF0D06D-2E2A-4E91-AF6B-C4146EE7D5E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883268" y="6895171"/>
              <a:ext cx="2490439" cy="2174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vind T M" refreshedDate="46015.552228009263" createdVersion="8" refreshedVersion="8" minRefreshableVersion="3" recordCount="50" xr:uid="{D965A535-436C-4BE6-9236-A397F4D5828E}">
  <cacheSource type="worksheet">
    <worksheetSource name="Table2"/>
  </cacheSource>
  <cacheFields count="7">
    <cacheField name="Month" numFmtId="0">
      <sharedItems count="6">
        <s v="Jan"/>
        <s v="Feb"/>
        <s v="Mar"/>
        <s v="Apr"/>
        <s v="May"/>
        <s v="Jun"/>
      </sharedItems>
    </cacheField>
    <cacheField name="Region" numFmtId="0">
      <sharedItems count="4">
        <s v="North"/>
        <s v="South"/>
        <s v="East"/>
        <s v="West"/>
      </sharedItems>
    </cacheField>
    <cacheField name="Product" numFmtId="0">
      <sharedItems count="3">
        <s v="Product A"/>
        <s v="Product B"/>
        <s v="Product C"/>
      </sharedItems>
    </cacheField>
    <cacheField name="Sales" numFmtId="164">
      <sharedItems containsSemiMixedTypes="0" containsString="0" containsNumber="1" containsInteger="1" minValue="20652" maxValue="78295" count="50">
        <n v="38043"/>
        <n v="64619"/>
        <n v="46400"/>
        <n v="43389"/>
        <n v="69048"/>
        <n v="56930"/>
        <n v="53113"/>
        <n v="77066"/>
        <n v="31330"/>
        <n v="72491"/>
        <n v="52781"/>
        <n v="38151"/>
        <n v="57803"/>
        <n v="28334"/>
        <n v="63827"/>
        <n v="25485"/>
        <n v="29606"/>
        <n v="52752"/>
        <n v="27748"/>
        <n v="21931"/>
        <n v="69694"/>
        <n v="20652"/>
        <n v="50383"/>
        <n v="33301"/>
        <n v="72868"/>
        <n v="51181"/>
        <n v="24494"/>
        <n v="34852"/>
        <n v="46096"/>
        <n v="29120"/>
        <n v="74760"/>
        <n v="51908"/>
        <n v="59433"/>
        <n v="53320"/>
        <n v="61656"/>
        <n v="55571"/>
        <n v="54489"/>
        <n v="73153"/>
        <n v="48411"/>
        <n v="59218"/>
        <n v="41606"/>
        <n v="24815"/>
        <n v="69464"/>
        <n v="75864"/>
        <n v="22747"/>
        <n v="67393"/>
        <n v="51112"/>
        <n v="41813"/>
        <n v="78295"/>
        <n v="64771"/>
      </sharedItems>
    </cacheField>
    <cacheField name="Cost" numFmtId="164">
      <sharedItems containsSemiMixedTypes="0" containsString="0" containsNumber="1" containsInteger="1" minValue="11871" maxValue="66087"/>
    </cacheField>
    <cacheField name="Profit" numFmtId="164">
      <sharedItems containsSemiMixedTypes="0" containsString="0" containsNumber="1" containsInteger="1" minValue="2003" maxValue="61775"/>
    </cacheField>
    <cacheField name="Sales Category" numFmtId="164">
      <sharedItems count="3">
        <s v="Low"/>
        <s v="High"/>
        <s v="Medium"/>
      </sharedItems>
    </cacheField>
  </cacheFields>
  <extLst>
    <ext xmlns:x14="http://schemas.microsoft.com/office/spreadsheetml/2009/9/main" uri="{725AE2AE-9491-48be-B2B4-4EB974FC3084}">
      <x14:pivotCacheDefinition pivotCacheId="17683361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n v="29274"/>
    <n v="8769"/>
    <x v="0"/>
  </r>
  <r>
    <x v="0"/>
    <x v="1"/>
    <x v="0"/>
    <x v="1"/>
    <n v="53098"/>
    <n v="11521"/>
    <x v="1"/>
  </r>
  <r>
    <x v="0"/>
    <x v="1"/>
    <x v="0"/>
    <x v="2"/>
    <n v="16657"/>
    <n v="29743"/>
    <x v="2"/>
  </r>
  <r>
    <x v="1"/>
    <x v="2"/>
    <x v="0"/>
    <x v="3"/>
    <n v="31870"/>
    <n v="11519"/>
    <x v="2"/>
  </r>
  <r>
    <x v="2"/>
    <x v="2"/>
    <x v="0"/>
    <x v="4"/>
    <n v="23614"/>
    <n v="45434"/>
    <x v="1"/>
  </r>
  <r>
    <x v="2"/>
    <x v="3"/>
    <x v="0"/>
    <x v="5"/>
    <n v="54256"/>
    <n v="2674"/>
    <x v="2"/>
  </r>
  <r>
    <x v="3"/>
    <x v="0"/>
    <x v="0"/>
    <x v="6"/>
    <n v="33902"/>
    <n v="19211"/>
    <x v="2"/>
  </r>
  <r>
    <x v="3"/>
    <x v="1"/>
    <x v="0"/>
    <x v="7"/>
    <n v="34986"/>
    <n v="42080"/>
    <x v="1"/>
  </r>
  <r>
    <x v="3"/>
    <x v="1"/>
    <x v="0"/>
    <x v="8"/>
    <n v="21579"/>
    <n v="9751"/>
    <x v="0"/>
  </r>
  <r>
    <x v="4"/>
    <x v="0"/>
    <x v="0"/>
    <x v="9"/>
    <n v="66087"/>
    <n v="6404"/>
    <x v="1"/>
  </r>
  <r>
    <x v="4"/>
    <x v="3"/>
    <x v="0"/>
    <x v="10"/>
    <n v="44422"/>
    <n v="8359"/>
    <x v="2"/>
  </r>
  <r>
    <x v="4"/>
    <x v="1"/>
    <x v="0"/>
    <x v="11"/>
    <n v="28301"/>
    <n v="9850"/>
    <x v="0"/>
  </r>
  <r>
    <x v="0"/>
    <x v="2"/>
    <x v="1"/>
    <x v="12"/>
    <n v="54017"/>
    <n v="3786"/>
    <x v="2"/>
  </r>
  <r>
    <x v="1"/>
    <x v="2"/>
    <x v="1"/>
    <x v="13"/>
    <n v="12516"/>
    <n v="15818"/>
    <x v="0"/>
  </r>
  <r>
    <x v="1"/>
    <x v="1"/>
    <x v="1"/>
    <x v="14"/>
    <n v="50588"/>
    <n v="13239"/>
    <x v="1"/>
  </r>
  <r>
    <x v="1"/>
    <x v="1"/>
    <x v="1"/>
    <x v="15"/>
    <n v="14815"/>
    <n v="10670"/>
    <x v="0"/>
  </r>
  <r>
    <x v="2"/>
    <x v="2"/>
    <x v="1"/>
    <x v="16"/>
    <n v="23829"/>
    <n v="5777"/>
    <x v="0"/>
  </r>
  <r>
    <x v="2"/>
    <x v="2"/>
    <x v="1"/>
    <x v="17"/>
    <n v="15524"/>
    <n v="37228"/>
    <x v="2"/>
  </r>
  <r>
    <x v="2"/>
    <x v="3"/>
    <x v="1"/>
    <x v="18"/>
    <n v="16957"/>
    <n v="10791"/>
    <x v="0"/>
  </r>
  <r>
    <x v="3"/>
    <x v="1"/>
    <x v="1"/>
    <x v="19"/>
    <n v="13137"/>
    <n v="8794"/>
    <x v="0"/>
  </r>
  <r>
    <x v="3"/>
    <x v="3"/>
    <x v="1"/>
    <x v="20"/>
    <n v="41468"/>
    <n v="28226"/>
    <x v="1"/>
  </r>
  <r>
    <x v="3"/>
    <x v="0"/>
    <x v="1"/>
    <x v="21"/>
    <n v="15402"/>
    <n v="5250"/>
    <x v="0"/>
  </r>
  <r>
    <x v="4"/>
    <x v="0"/>
    <x v="1"/>
    <x v="22"/>
    <n v="22528"/>
    <n v="27855"/>
    <x v="2"/>
  </r>
  <r>
    <x v="4"/>
    <x v="3"/>
    <x v="1"/>
    <x v="23"/>
    <n v="26484"/>
    <n v="6817"/>
    <x v="0"/>
  </r>
  <r>
    <x v="4"/>
    <x v="3"/>
    <x v="1"/>
    <x v="24"/>
    <n v="48623"/>
    <n v="24245"/>
    <x v="1"/>
  </r>
  <r>
    <x v="4"/>
    <x v="3"/>
    <x v="1"/>
    <x v="25"/>
    <n v="20249"/>
    <n v="30932"/>
    <x v="2"/>
  </r>
  <r>
    <x v="5"/>
    <x v="2"/>
    <x v="1"/>
    <x v="26"/>
    <n v="22491"/>
    <n v="2003"/>
    <x v="0"/>
  </r>
  <r>
    <x v="5"/>
    <x v="3"/>
    <x v="1"/>
    <x v="27"/>
    <n v="32152"/>
    <n v="2700"/>
    <x v="0"/>
  </r>
  <r>
    <x v="5"/>
    <x v="3"/>
    <x v="1"/>
    <x v="28"/>
    <n v="24506"/>
    <n v="21590"/>
    <x v="2"/>
  </r>
  <r>
    <x v="5"/>
    <x v="2"/>
    <x v="1"/>
    <x v="29"/>
    <n v="22541"/>
    <n v="6579"/>
    <x v="0"/>
  </r>
  <r>
    <x v="5"/>
    <x v="0"/>
    <x v="1"/>
    <x v="30"/>
    <n v="12985"/>
    <n v="61775"/>
    <x v="1"/>
  </r>
  <r>
    <x v="5"/>
    <x v="1"/>
    <x v="1"/>
    <x v="31"/>
    <n v="25850"/>
    <n v="26058"/>
    <x v="2"/>
  </r>
  <r>
    <x v="0"/>
    <x v="1"/>
    <x v="2"/>
    <x v="32"/>
    <n v="40730"/>
    <n v="18703"/>
    <x v="2"/>
  </r>
  <r>
    <x v="0"/>
    <x v="0"/>
    <x v="2"/>
    <x v="33"/>
    <n v="20018"/>
    <n v="33302"/>
    <x v="2"/>
  </r>
  <r>
    <x v="1"/>
    <x v="1"/>
    <x v="2"/>
    <x v="34"/>
    <n v="33985"/>
    <n v="27671"/>
    <x v="1"/>
  </r>
  <r>
    <x v="1"/>
    <x v="2"/>
    <x v="2"/>
    <x v="35"/>
    <n v="26664"/>
    <n v="28907"/>
    <x v="2"/>
  </r>
  <r>
    <x v="2"/>
    <x v="3"/>
    <x v="2"/>
    <x v="36"/>
    <n v="35574"/>
    <n v="18915"/>
    <x v="2"/>
  </r>
  <r>
    <x v="2"/>
    <x v="2"/>
    <x v="2"/>
    <x v="37"/>
    <n v="37204"/>
    <n v="35949"/>
    <x v="1"/>
  </r>
  <r>
    <x v="2"/>
    <x v="2"/>
    <x v="2"/>
    <x v="38"/>
    <n v="16554"/>
    <n v="31857"/>
    <x v="2"/>
  </r>
  <r>
    <x v="3"/>
    <x v="3"/>
    <x v="2"/>
    <x v="39"/>
    <n v="42011"/>
    <n v="17207"/>
    <x v="2"/>
  </r>
  <r>
    <x v="3"/>
    <x v="0"/>
    <x v="2"/>
    <x v="40"/>
    <n v="29151"/>
    <n v="12455"/>
    <x v="2"/>
  </r>
  <r>
    <x v="3"/>
    <x v="0"/>
    <x v="2"/>
    <x v="41"/>
    <n v="20363"/>
    <n v="4452"/>
    <x v="0"/>
  </r>
  <r>
    <x v="3"/>
    <x v="2"/>
    <x v="2"/>
    <x v="42"/>
    <n v="64465"/>
    <n v="4999"/>
    <x v="1"/>
  </r>
  <r>
    <x v="3"/>
    <x v="1"/>
    <x v="2"/>
    <x v="43"/>
    <n v="42894"/>
    <n v="32970"/>
    <x v="1"/>
  </r>
  <r>
    <x v="4"/>
    <x v="3"/>
    <x v="2"/>
    <x v="44"/>
    <n v="14461"/>
    <n v="8286"/>
    <x v="0"/>
  </r>
  <r>
    <x v="4"/>
    <x v="1"/>
    <x v="2"/>
    <x v="45"/>
    <n v="32125"/>
    <n v="35268"/>
    <x v="1"/>
  </r>
  <r>
    <x v="4"/>
    <x v="1"/>
    <x v="2"/>
    <x v="46"/>
    <n v="11871"/>
    <n v="39241"/>
    <x v="2"/>
  </r>
  <r>
    <x v="4"/>
    <x v="3"/>
    <x v="2"/>
    <x v="47"/>
    <n v="30333"/>
    <n v="11480"/>
    <x v="2"/>
  </r>
  <r>
    <x v="5"/>
    <x v="0"/>
    <x v="2"/>
    <x v="48"/>
    <n v="34783"/>
    <n v="43512"/>
    <x v="1"/>
  </r>
  <r>
    <x v="5"/>
    <x v="3"/>
    <x v="2"/>
    <x v="49"/>
    <n v="47288"/>
    <n v="1748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A85432-A00A-45E8-90F0-B2AA8543F9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6" firstHeaderRow="1" firstDataRow="1" firstDataCol="1"/>
  <pivotFields count="7">
    <pivotField showAll="0">
      <items count="7">
        <item x="0"/>
        <item x="1"/>
        <item x="2"/>
        <item x="3"/>
        <item x="4"/>
        <item x="5"/>
        <item t="default"/>
      </items>
    </pivotField>
    <pivotField showAll="0">
      <items count="5">
        <item x="2"/>
        <item x="0"/>
        <item x="1"/>
        <item x="3"/>
        <item t="default"/>
      </items>
    </pivotField>
    <pivotField axis="axisRow" showAll="0">
      <items count="4">
        <item x="0"/>
        <item x="1"/>
        <item x="2"/>
        <item t="default"/>
      </items>
    </pivotField>
    <pivotField dataField="1" numFmtId="164" showAll="0"/>
    <pivotField numFmtId="164" showAll="0"/>
    <pivotField numFmtId="164" showAll="0"/>
    <pivotField showAll="0"/>
  </pivotFields>
  <rowFields count="1">
    <field x="2"/>
  </rowFields>
  <rowItems count="4">
    <i>
      <x/>
    </i>
    <i>
      <x v="1"/>
    </i>
    <i>
      <x v="2"/>
    </i>
    <i t="grand">
      <x/>
    </i>
  </rowItems>
  <colItems count="1">
    <i/>
  </colItems>
  <dataFields count="1">
    <dataField name="Sum of Sales"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4D2A3E-39B8-4620-9B45-06D2AE15DB4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7">
    <pivotField showAll="0">
      <items count="7">
        <item x="0"/>
        <item x="1"/>
        <item x="2"/>
        <item x="3"/>
        <item x="4"/>
        <item x="5"/>
        <item t="default"/>
      </items>
    </pivotField>
    <pivotField axis="axisRow" showAll="0">
      <items count="5">
        <item x="2"/>
        <item x="0"/>
        <item x="1"/>
        <item x="3"/>
        <item t="default"/>
      </items>
    </pivotField>
    <pivotField dataField="1" showAll="0">
      <items count="4">
        <item x="0"/>
        <item x="1"/>
        <item x="2"/>
        <item t="default"/>
      </items>
    </pivotField>
    <pivotField numFmtId="164" showAll="0"/>
    <pivotField numFmtId="164" showAll="0"/>
    <pivotField numFmtId="164" showAll="0"/>
    <pivotField showAll="0"/>
  </pivotFields>
  <rowFields count="1">
    <field x="1"/>
  </rowFields>
  <rowItems count="5">
    <i>
      <x/>
    </i>
    <i>
      <x v="1"/>
    </i>
    <i>
      <x v="2"/>
    </i>
    <i>
      <x v="3"/>
    </i>
    <i t="grand">
      <x/>
    </i>
  </rowItems>
  <colItems count="1">
    <i/>
  </colItems>
  <dataFields count="1">
    <dataField name="Count of Product"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6B4248-FAA6-4BCD-BE43-8F2BAADF5DC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B8" firstHeaderRow="1" firstDataRow="1" firstDataCol="1"/>
  <pivotFields count="7">
    <pivotField axis="axisRow" showAll="0">
      <items count="7">
        <item x="0"/>
        <item x="1"/>
        <item x="2"/>
        <item x="3"/>
        <item x="4"/>
        <item x="5"/>
        <item t="default"/>
      </items>
    </pivotField>
    <pivotField showAll="0">
      <items count="5">
        <item x="2"/>
        <item x="0"/>
        <item x="1"/>
        <item x="3"/>
        <item t="default"/>
      </items>
    </pivotField>
    <pivotField showAll="0">
      <items count="4">
        <item x="0"/>
        <item x="1"/>
        <item x="2"/>
        <item t="default"/>
      </items>
    </pivotField>
    <pivotField dataField="1" numFmtId="164" showAll="0"/>
    <pivotField numFmtId="164" showAll="0"/>
    <pivotField numFmtId="164" showAll="0"/>
    <pivotField showAll="0"/>
  </pivotFields>
  <rowFields count="1">
    <field x="0"/>
  </rowFields>
  <rowItems count="7">
    <i>
      <x/>
    </i>
    <i>
      <x v="1"/>
    </i>
    <i>
      <x v="2"/>
    </i>
    <i>
      <x v="3"/>
    </i>
    <i>
      <x v="4"/>
    </i>
    <i>
      <x v="5"/>
    </i>
    <i t="grand">
      <x/>
    </i>
  </rowItems>
  <colItems count="1">
    <i/>
  </colItems>
  <dataFields count="1">
    <dataField name="Sum of Sales" fld="3"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8893C4-3A02-449B-BE37-50B7DF0A796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7" firstHeaderRow="0" firstDataRow="1" firstDataCol="1"/>
  <pivotFields count="7">
    <pivotField showAll="0">
      <items count="7">
        <item x="0"/>
        <item x="1"/>
        <item x="2"/>
        <item x="3"/>
        <item x="4"/>
        <item x="5"/>
        <item t="default"/>
      </items>
    </pivotField>
    <pivotField showAll="0">
      <items count="5">
        <item x="2"/>
        <item x="0"/>
        <item x="1"/>
        <item x="3"/>
        <item t="default"/>
      </items>
    </pivotField>
    <pivotField axis="axisRow" showAll="0">
      <items count="4">
        <item x="0"/>
        <item x="1"/>
        <item x="2"/>
        <item t="default"/>
      </items>
    </pivotField>
    <pivotField dataField="1" numFmtId="164" showAll="0"/>
    <pivotField dataField="1" numFmtId="164" showAll="0"/>
    <pivotField numFmtId="164" showAll="0"/>
    <pivotField showAll="0"/>
  </pivotFields>
  <rowFields count="1">
    <field x="2"/>
  </rowFields>
  <rowItems count="4">
    <i>
      <x/>
    </i>
    <i>
      <x v="1"/>
    </i>
    <i>
      <x v="2"/>
    </i>
    <i t="grand">
      <x/>
    </i>
  </rowItems>
  <colFields count="1">
    <field x="-2"/>
  </colFields>
  <colItems count="2">
    <i>
      <x/>
    </i>
    <i i="1">
      <x v="1"/>
    </i>
  </colItems>
  <dataFields count="2">
    <dataField name="Sum of Cost" fld="4" baseField="0" baseItem="0" numFmtId="164"/>
    <dataField name="Sum of Sales" fld="3" baseField="0" baseItem="0" numFmtId="164"/>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7F63B7-CC32-4FD8-B810-42163B8239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8" firstHeaderRow="1" firstDataRow="1" firstDataCol="1"/>
  <pivotFields count="7">
    <pivotField axis="axisRow" showAll="0">
      <items count="7">
        <item x="0"/>
        <item x="1"/>
        <item x="2"/>
        <item x="3"/>
        <item x="4"/>
        <item x="5"/>
        <item t="default"/>
      </items>
    </pivotField>
    <pivotField showAll="0">
      <items count="5">
        <item x="2"/>
        <item x="0"/>
        <item x="1"/>
        <item x="3"/>
        <item t="default"/>
      </items>
    </pivotField>
    <pivotField showAll="0">
      <items count="4">
        <item x="0"/>
        <item x="1"/>
        <item x="2"/>
        <item t="default"/>
      </items>
    </pivotField>
    <pivotField numFmtId="164" showAll="0"/>
    <pivotField numFmtId="164" showAll="0"/>
    <pivotField dataField="1" numFmtId="164" showAll="0"/>
    <pivotField showAll="0"/>
  </pivotFields>
  <rowFields count="1">
    <field x="0"/>
  </rowFields>
  <rowItems count="7">
    <i>
      <x/>
    </i>
    <i>
      <x v="1"/>
    </i>
    <i>
      <x v="2"/>
    </i>
    <i>
      <x v="3"/>
    </i>
    <i>
      <x v="4"/>
    </i>
    <i>
      <x v="5"/>
    </i>
    <i t="grand">
      <x/>
    </i>
  </rowItems>
  <colItems count="1">
    <i/>
  </colItems>
  <dataFields count="1">
    <dataField name="Sum of Profit" fld="5"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D4E309-2100-4A5B-BFDB-98DDDA596D5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6" firstHeaderRow="1" firstDataRow="1" firstDataCol="1"/>
  <pivotFields count="7">
    <pivotField showAll="0">
      <items count="7">
        <item x="0"/>
        <item x="1"/>
        <item x="2"/>
        <item x="3"/>
        <item x="4"/>
        <item x="5"/>
        <item t="default"/>
      </items>
    </pivotField>
    <pivotField axis="axisRow" showAll="0">
      <items count="5">
        <item x="2"/>
        <item x="0"/>
        <item x="1"/>
        <item x="3"/>
        <item t="default"/>
      </items>
    </pivotField>
    <pivotField showAll="0">
      <items count="4">
        <item x="0"/>
        <item x="1"/>
        <item x="2"/>
        <item t="default"/>
      </items>
    </pivotField>
    <pivotField numFmtId="164" showAll="0"/>
    <pivotField numFmtId="164" showAll="0"/>
    <pivotField dataField="1" numFmtId="164" showAll="0"/>
    <pivotField showAll="0"/>
  </pivotFields>
  <rowFields count="1">
    <field x="1"/>
  </rowFields>
  <rowItems count="5">
    <i>
      <x/>
    </i>
    <i>
      <x v="1"/>
    </i>
    <i>
      <x v="2"/>
    </i>
    <i>
      <x v="3"/>
    </i>
    <i t="grand">
      <x/>
    </i>
  </rowItems>
  <colItems count="1">
    <i/>
  </colItems>
  <dataFields count="1">
    <dataField name="Sum of Profit" fld="5" baseField="0" baseItem="0" numFmtId="164"/>
  </dataField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D9ED4E-2396-450F-87B5-044639388DD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7" firstHeaderRow="0" firstDataRow="1" firstDataCol="1"/>
  <pivotFields count="7">
    <pivotField showAll="0">
      <items count="7">
        <item x="0"/>
        <item x="1"/>
        <item x="2"/>
        <item x="3"/>
        <item x="4"/>
        <item x="5"/>
        <item t="default"/>
      </items>
    </pivotField>
    <pivotField showAll="0">
      <items count="5">
        <item x="2"/>
        <item x="0"/>
        <item x="1"/>
        <item x="3"/>
        <item t="default"/>
      </items>
    </pivotField>
    <pivotField axis="axisRow" showAll="0">
      <items count="4">
        <item x="0"/>
        <item x="1"/>
        <item x="2"/>
        <item t="default"/>
      </items>
    </pivotField>
    <pivotField dataField="1" numFmtId="164" showAll="0"/>
    <pivotField numFmtId="164" showAll="0"/>
    <pivotField dataField="1" numFmtId="164" showAll="0"/>
    <pivotField showAll="0"/>
  </pivotFields>
  <rowFields count="1">
    <field x="2"/>
  </rowFields>
  <rowItems count="4">
    <i>
      <x/>
    </i>
    <i>
      <x v="1"/>
    </i>
    <i>
      <x v="2"/>
    </i>
    <i t="grand">
      <x/>
    </i>
  </rowItems>
  <colFields count="1">
    <field x="-2"/>
  </colFields>
  <colItems count="2">
    <i>
      <x/>
    </i>
    <i i="1">
      <x v="1"/>
    </i>
  </colItems>
  <dataFields count="2">
    <dataField name="Sum of Sales" fld="3" baseField="0" baseItem="0" numFmtId="164"/>
    <dataField name="Sum of Profit" fld="5" baseField="0" baseItem="0" numFmtId="164"/>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1B2387-A887-48F7-85DA-968BFD75AFB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7">
    <pivotField showAll="0">
      <items count="7">
        <item x="0"/>
        <item x="1"/>
        <item x="2"/>
        <item x="3"/>
        <item x="4"/>
        <item x="5"/>
        <item t="default"/>
      </items>
    </pivotField>
    <pivotField showAll="0">
      <items count="5">
        <item x="2"/>
        <item x="0"/>
        <item x="1"/>
        <item x="3"/>
        <item t="default"/>
      </items>
    </pivotField>
    <pivotField showAll="0">
      <items count="4">
        <item x="0"/>
        <item x="1"/>
        <item x="2"/>
        <item t="default"/>
      </items>
    </pivotField>
    <pivotField numFmtId="164" showAll="0"/>
    <pivotField numFmtId="164" showAll="0"/>
    <pivotField numFmtId="164" showAll="0"/>
    <pivotField axis="axisRow" dataField="1" showAll="0">
      <items count="4">
        <item x="1"/>
        <item x="0"/>
        <item x="2"/>
        <item t="default"/>
      </items>
    </pivotField>
  </pivotFields>
  <rowFields count="1">
    <field x="6"/>
  </rowFields>
  <rowItems count="4">
    <i>
      <x/>
    </i>
    <i>
      <x v="1"/>
    </i>
    <i>
      <x v="2"/>
    </i>
    <i t="grand">
      <x/>
    </i>
  </rowItems>
  <colItems count="1">
    <i/>
  </colItems>
  <dataFields count="1">
    <dataField name="Count of Sales Category" fld="6" subtotal="count" baseField="0" baseItem="0"/>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6" count="1" selected="0">
            <x v="0"/>
          </reference>
        </references>
      </pivotArea>
    </chartFormat>
    <chartFormat chart="4" format="10">
      <pivotArea type="data" outline="0" fieldPosition="0">
        <references count="2">
          <reference field="4294967294" count="1" selected="0">
            <x v="0"/>
          </reference>
          <reference field="6" count="1" selected="0">
            <x v="1"/>
          </reference>
        </references>
      </pivotArea>
    </chartFormat>
    <chartFormat chart="4"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88C9000-2378-440D-B29A-A211D519B0C4}" sourceName="Region">
  <pivotTables>
    <pivotTable tabId="4" name="PivotTable2"/>
    <pivotTable tabId="9" name="PivotTable7"/>
    <pivotTable tabId="5" name="PivotTable3"/>
    <pivotTable tabId="7" name="PivotTable5"/>
    <pivotTable tabId="14" name="PivotTable1"/>
    <pivotTable tabId="6" name="PivotTable4"/>
    <pivotTable tabId="15" name="PivotTable2"/>
    <pivotTable tabId="8" name="PivotTable6"/>
  </pivotTables>
  <data>
    <tabular pivotCacheId="176833614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52633D2-823D-4473-9911-35E0DD19B1A4}" sourceName="Month">
  <pivotTables>
    <pivotTable tabId="4" name="PivotTable2"/>
    <pivotTable tabId="9" name="PivotTable7"/>
    <pivotTable tabId="5" name="PivotTable3"/>
    <pivotTable tabId="7" name="PivotTable5"/>
    <pivotTable tabId="14" name="PivotTable1"/>
    <pivotTable tabId="6" name="PivotTable4"/>
    <pivotTable tabId="15" name="PivotTable2"/>
    <pivotTable tabId="8" name="PivotTable6"/>
  </pivotTables>
  <data>
    <tabular pivotCacheId="1768336140">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0BF8EB1-1D37-4C57-A1F4-6DD7DFED0D19}" sourceName="Product">
  <pivotTables>
    <pivotTable tabId="4" name="PivotTable2"/>
    <pivotTable tabId="9" name="PivotTable7"/>
    <pivotTable tabId="5" name="PivotTable3"/>
    <pivotTable tabId="7" name="PivotTable5"/>
    <pivotTable tabId="14" name="PivotTable1"/>
    <pivotTable tabId="6" name="PivotTable4"/>
    <pivotTable tabId="15" name="PivotTable2"/>
    <pivotTable tabId="8" name="PivotTable6"/>
  </pivotTables>
  <data>
    <tabular pivotCacheId="176833614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73648D5-8C2A-4857-89D3-D92CA1A74892}" cache="Slicer_Region" caption="Region" rowHeight="720000"/>
  <slicer name="Month" xr10:uid="{AB8DD3BF-06A6-427C-A372-3DDAB4535950}" cache="Slicer_Month" caption="Month" rowHeight="432000"/>
  <slicer name="Product" xr10:uid="{8826ED43-4A72-4903-9795-A202FC5853E9}" cache="Slicer_Product" caption="Product"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22771C-E72D-4C46-AA8F-0292A586DED5}" name="Table2" displayName="Table2" ref="A1:G51" insertRowShift="1" totalsRowShown="0">
  <autoFilter ref="A1:G51" xr:uid="{1822771C-E72D-4C46-AA8F-0292A586DED5}"/>
  <sortState xmlns:xlrd2="http://schemas.microsoft.com/office/spreadsheetml/2017/richdata2" ref="A2:G51">
    <sortCondition descending="1" ref="D1:D51"/>
  </sortState>
  <tableColumns count="7">
    <tableColumn id="1" xr3:uid="{89022404-30EB-4675-B95A-FDBD0D0A955C}" name="Month"/>
    <tableColumn id="2" xr3:uid="{C8F67DF2-17F9-4AB6-87AD-44DAD0B84BEB}" name="Region"/>
    <tableColumn id="3" xr3:uid="{FD8A9C85-6245-4CA9-8097-1570DB2E4308}" name="Product"/>
    <tableColumn id="4" xr3:uid="{F927731B-8AC7-4C35-ADB4-034C3DA63588}" name="Sales" dataDxfId="6"/>
    <tableColumn id="5" xr3:uid="{4F2BF2CA-5D1B-4F53-A17D-B702E847EC95}" name="Cost" dataDxfId="5"/>
    <tableColumn id="6" xr3:uid="{CB360F29-DE8C-46A2-B580-321D186763CE}" name="Profit" dataDxfId="4"/>
    <tableColumn id="7" xr3:uid="{95824956-6A06-4AE6-89FB-DE7E9C481698}" name="Sales Category" dataDxfId="3">
      <calculatedColumnFormula>IF(Table2[[#This Row],[Sales]]&gt;60000,"High",IF(Table2[[#This Row],[Sales]]&gt;=40000,"Medium","Low"))</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FF520A-3B6B-44BA-9D3A-74A993320B7E}" name="Table3" displayName="Table3" ref="A1:B6" totalsRowShown="0" headerRowDxfId="2">
  <autoFilter ref="A1:B6" xr:uid="{FAFF520A-3B6B-44BA-9D3A-74A993320B7E}"/>
  <tableColumns count="2">
    <tableColumn id="1" xr3:uid="{5C4FBB4D-0619-4D74-BDF1-A2107C8CDBA7}" name="Metric" dataDxfId="1"/>
    <tableColumn id="2" xr3:uid="{68ADEB02-9299-4E7C-842A-D1092D9F7EA9}" name="Valu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19967-B821-40E0-A46A-75DE1E803A78}">
  <dimension ref="A2:B6"/>
  <sheetViews>
    <sheetView workbookViewId="0">
      <selection activeCell="C14" sqref="C14"/>
    </sheetView>
  </sheetViews>
  <sheetFormatPr defaultRowHeight="14.4" x14ac:dyDescent="0.3"/>
  <cols>
    <col min="1" max="1" width="12.5546875" bestFit="1" customWidth="1"/>
    <col min="2" max="2" width="13.21875" bestFit="1" customWidth="1"/>
  </cols>
  <sheetData>
    <row r="2" spans="1:2" x14ac:dyDescent="0.3">
      <c r="A2" s="4" t="s">
        <v>27</v>
      </c>
      <c r="B2" t="s">
        <v>29</v>
      </c>
    </row>
    <row r="3" spans="1:2" x14ac:dyDescent="0.3">
      <c r="A3" s="5" t="s">
        <v>11</v>
      </c>
      <c r="B3" s="3">
        <v>643361</v>
      </c>
    </row>
    <row r="4" spans="1:2" x14ac:dyDescent="0.3">
      <c r="A4" s="5" t="s">
        <v>8</v>
      </c>
      <c r="B4" s="3">
        <v>866795</v>
      </c>
    </row>
    <row r="5" spans="1:2" x14ac:dyDescent="0.3">
      <c r="A5" s="5" t="s">
        <v>16</v>
      </c>
      <c r="B5" s="3">
        <v>1003131</v>
      </c>
    </row>
    <row r="6" spans="1:2" x14ac:dyDescent="0.3">
      <c r="A6" s="5" t="s">
        <v>28</v>
      </c>
      <c r="B6" s="3">
        <v>2513287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CE6CB-C980-43BF-86A2-4AB059AB9E72}">
  <dimension ref="A3:B8"/>
  <sheetViews>
    <sheetView workbookViewId="0">
      <selection activeCell="D8" sqref="D8"/>
    </sheetView>
  </sheetViews>
  <sheetFormatPr defaultRowHeight="14.4" x14ac:dyDescent="0.3"/>
  <cols>
    <col min="1" max="1" width="12.5546875" bestFit="1" customWidth="1"/>
    <col min="2" max="2" width="15.5546875" bestFit="1" customWidth="1"/>
  </cols>
  <sheetData>
    <row r="3" spans="1:2" x14ac:dyDescent="0.3">
      <c r="A3" s="4" t="s">
        <v>27</v>
      </c>
      <c r="B3" t="s">
        <v>39</v>
      </c>
    </row>
    <row r="4" spans="1:2" x14ac:dyDescent="0.3">
      <c r="A4" s="5" t="s">
        <v>7</v>
      </c>
      <c r="B4">
        <v>12</v>
      </c>
    </row>
    <row r="5" spans="1:2" x14ac:dyDescent="0.3">
      <c r="A5" s="5" t="s">
        <v>10</v>
      </c>
      <c r="B5">
        <v>10</v>
      </c>
    </row>
    <row r="6" spans="1:2" x14ac:dyDescent="0.3">
      <c r="A6" s="5" t="s">
        <v>18</v>
      </c>
      <c r="B6">
        <v>14</v>
      </c>
    </row>
    <row r="7" spans="1:2" x14ac:dyDescent="0.3">
      <c r="A7" s="5" t="s">
        <v>15</v>
      </c>
      <c r="B7">
        <v>14</v>
      </c>
    </row>
    <row r="8" spans="1:2" x14ac:dyDescent="0.3">
      <c r="A8" s="5" t="s">
        <v>28</v>
      </c>
      <c r="B8">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2"/>
  <sheetViews>
    <sheetView workbookViewId="0">
      <selection activeCell="E14" sqref="E14"/>
    </sheetView>
  </sheetViews>
  <sheetFormatPr defaultRowHeight="14.4" x14ac:dyDescent="0.3"/>
  <cols>
    <col min="1" max="2" width="8.6640625" customWidth="1"/>
    <col min="3" max="3" width="9.5546875" customWidth="1"/>
    <col min="4" max="4" width="10.44140625" bestFit="1" customWidth="1"/>
    <col min="5" max="6" width="10.44140625" style="3" bestFit="1" customWidth="1"/>
    <col min="7" max="7" width="15.5546875" bestFit="1" customWidth="1"/>
  </cols>
  <sheetData>
    <row r="1" spans="1:7" x14ac:dyDescent="0.3">
      <c r="A1" t="s">
        <v>0</v>
      </c>
      <c r="B1" t="s">
        <v>1</v>
      </c>
      <c r="C1" t="s">
        <v>2</v>
      </c>
      <c r="D1" t="s">
        <v>3</v>
      </c>
      <c r="E1" s="3" t="s">
        <v>4</v>
      </c>
      <c r="F1" s="3" t="s">
        <v>5</v>
      </c>
      <c r="G1" t="s">
        <v>26</v>
      </c>
    </row>
    <row r="2" spans="1:7" x14ac:dyDescent="0.3">
      <c r="A2" t="s">
        <v>13</v>
      </c>
      <c r="B2" t="s">
        <v>10</v>
      </c>
      <c r="C2" t="s">
        <v>16</v>
      </c>
      <c r="D2" s="3">
        <v>78295</v>
      </c>
      <c r="E2" s="3">
        <v>34783</v>
      </c>
      <c r="F2" s="3">
        <v>43512</v>
      </c>
      <c r="G2" s="3" t="str">
        <f>IF(Table2[[#This Row],[Sales]]&gt;60000,"High",IF(Table2[[#This Row],[Sales]]&gt;=40000,"Medium","Low"))</f>
        <v>High</v>
      </c>
    </row>
    <row r="3" spans="1:7" x14ac:dyDescent="0.3">
      <c r="A3" t="s">
        <v>17</v>
      </c>
      <c r="B3" t="s">
        <v>18</v>
      </c>
      <c r="C3" t="s">
        <v>11</v>
      </c>
      <c r="D3" s="3">
        <v>77066</v>
      </c>
      <c r="E3" s="3">
        <v>34986</v>
      </c>
      <c r="F3" s="3">
        <v>42080</v>
      </c>
      <c r="G3" s="3" t="str">
        <f>IF(Table2[[#This Row],[Sales]]&gt;60000,"High",IF(Table2[[#This Row],[Sales]]&gt;=40000,"Medium","Low"))</f>
        <v>High</v>
      </c>
    </row>
    <row r="4" spans="1:7" x14ac:dyDescent="0.3">
      <c r="A4" t="s">
        <v>17</v>
      </c>
      <c r="B4" t="s">
        <v>18</v>
      </c>
      <c r="C4" t="s">
        <v>16</v>
      </c>
      <c r="D4" s="3">
        <v>75864</v>
      </c>
      <c r="E4" s="3">
        <v>42894</v>
      </c>
      <c r="F4" s="3">
        <v>32970</v>
      </c>
      <c r="G4" s="3" t="str">
        <f>IF(Table2[[#This Row],[Sales]]&gt;60000,"High",IF(Table2[[#This Row],[Sales]]&gt;=40000,"Medium","Low"))</f>
        <v>High</v>
      </c>
    </row>
    <row r="5" spans="1:7" x14ac:dyDescent="0.3">
      <c r="A5" t="s">
        <v>13</v>
      </c>
      <c r="B5" t="s">
        <v>10</v>
      </c>
      <c r="C5" t="s">
        <v>8</v>
      </c>
      <c r="D5" s="3">
        <v>74760</v>
      </c>
      <c r="E5" s="3">
        <v>12985</v>
      </c>
      <c r="F5" s="3">
        <v>61775</v>
      </c>
      <c r="G5" s="3" t="str">
        <f>IF(Table2[[#This Row],[Sales]]&gt;60000,"High",IF(Table2[[#This Row],[Sales]]&gt;=40000,"Medium","Low"))</f>
        <v>High</v>
      </c>
    </row>
    <row r="6" spans="1:7" x14ac:dyDescent="0.3">
      <c r="A6" t="s">
        <v>12</v>
      </c>
      <c r="B6" t="s">
        <v>7</v>
      </c>
      <c r="C6" t="s">
        <v>16</v>
      </c>
      <c r="D6" s="3">
        <v>73153</v>
      </c>
      <c r="E6" s="3">
        <v>37204</v>
      </c>
      <c r="F6" s="3">
        <v>35949</v>
      </c>
      <c r="G6" s="3" t="str">
        <f>IF(Table2[[#This Row],[Sales]]&gt;60000,"High",IF(Table2[[#This Row],[Sales]]&gt;=40000,"Medium","Low"))</f>
        <v>High</v>
      </c>
    </row>
    <row r="7" spans="1:7" x14ac:dyDescent="0.3">
      <c r="A7" t="s">
        <v>9</v>
      </c>
      <c r="B7" t="s">
        <v>15</v>
      </c>
      <c r="C7" t="s">
        <v>8</v>
      </c>
      <c r="D7" s="3">
        <v>72868</v>
      </c>
      <c r="E7" s="3">
        <v>48623</v>
      </c>
      <c r="F7" s="3">
        <v>24245</v>
      </c>
      <c r="G7" s="3" t="str">
        <f>IF(Table2[[#This Row],[Sales]]&gt;60000,"High",IF(Table2[[#This Row],[Sales]]&gt;=40000,"Medium","Low"))</f>
        <v>High</v>
      </c>
    </row>
    <row r="8" spans="1:7" x14ac:dyDescent="0.3">
      <c r="A8" t="s">
        <v>9</v>
      </c>
      <c r="B8" t="s">
        <v>10</v>
      </c>
      <c r="C8" t="s">
        <v>11</v>
      </c>
      <c r="D8" s="3">
        <v>72491</v>
      </c>
      <c r="E8" s="3">
        <v>66087</v>
      </c>
      <c r="F8" s="3">
        <v>6404</v>
      </c>
      <c r="G8" s="3" t="str">
        <f>IF(Table2[[#This Row],[Sales]]&gt;60000,"High",IF(Table2[[#This Row],[Sales]]&gt;=40000,"Medium","Low"))</f>
        <v>High</v>
      </c>
    </row>
    <row r="9" spans="1:7" x14ac:dyDescent="0.3">
      <c r="A9" t="s">
        <v>17</v>
      </c>
      <c r="B9" t="s">
        <v>15</v>
      </c>
      <c r="C9" t="s">
        <v>8</v>
      </c>
      <c r="D9" s="3">
        <v>69694</v>
      </c>
      <c r="E9" s="3">
        <v>41468</v>
      </c>
      <c r="F9" s="3">
        <v>28226</v>
      </c>
      <c r="G9" s="3" t="str">
        <f>IF(Table2[[#This Row],[Sales]]&gt;60000,"High",IF(Table2[[#This Row],[Sales]]&gt;=40000,"Medium","Low"))</f>
        <v>High</v>
      </c>
    </row>
    <row r="10" spans="1:7" x14ac:dyDescent="0.3">
      <c r="A10" t="s">
        <v>17</v>
      </c>
      <c r="B10" t="s">
        <v>7</v>
      </c>
      <c r="C10" t="s">
        <v>16</v>
      </c>
      <c r="D10" s="3">
        <v>69464</v>
      </c>
      <c r="E10" s="3">
        <v>64465</v>
      </c>
      <c r="F10" s="3">
        <v>4999</v>
      </c>
      <c r="G10" s="3" t="str">
        <f>IF(Table2[[#This Row],[Sales]]&gt;60000,"High",IF(Table2[[#This Row],[Sales]]&gt;=40000,"Medium","Low"))</f>
        <v>High</v>
      </c>
    </row>
    <row r="11" spans="1:7" x14ac:dyDescent="0.3">
      <c r="A11" t="s">
        <v>12</v>
      </c>
      <c r="B11" t="s">
        <v>7</v>
      </c>
      <c r="C11" t="s">
        <v>11</v>
      </c>
      <c r="D11" s="3">
        <v>69048</v>
      </c>
      <c r="E11" s="3">
        <v>23614</v>
      </c>
      <c r="F11" s="3">
        <v>45434</v>
      </c>
      <c r="G11" s="3" t="str">
        <f>IF(Table2[[#This Row],[Sales]]&gt;60000,"High",IF(Table2[[#This Row],[Sales]]&gt;=40000,"Medium","Low"))</f>
        <v>High</v>
      </c>
    </row>
    <row r="12" spans="1:7" x14ac:dyDescent="0.3">
      <c r="A12" t="s">
        <v>9</v>
      </c>
      <c r="B12" t="s">
        <v>18</v>
      </c>
      <c r="C12" t="s">
        <v>16</v>
      </c>
      <c r="D12" s="3">
        <v>67393</v>
      </c>
      <c r="E12" s="3">
        <v>32125</v>
      </c>
      <c r="F12" s="3">
        <v>35268</v>
      </c>
      <c r="G12" s="3" t="str">
        <f>IF(Table2[[#This Row],[Sales]]&gt;60000,"High",IF(Table2[[#This Row],[Sales]]&gt;=40000,"Medium","Low"))</f>
        <v>High</v>
      </c>
    </row>
    <row r="13" spans="1:7" x14ac:dyDescent="0.3">
      <c r="A13" t="s">
        <v>13</v>
      </c>
      <c r="B13" t="s">
        <v>15</v>
      </c>
      <c r="C13" t="s">
        <v>16</v>
      </c>
      <c r="D13" s="3">
        <v>64771</v>
      </c>
      <c r="E13" s="3">
        <v>47288</v>
      </c>
      <c r="F13" s="3">
        <v>17483</v>
      </c>
      <c r="G13" s="3" t="str">
        <f>IF(Table2[[#This Row],[Sales]]&gt;60000,"High",IF(Table2[[#This Row],[Sales]]&gt;=40000,"Medium","Low"))</f>
        <v>High</v>
      </c>
    </row>
    <row r="14" spans="1:7" x14ac:dyDescent="0.3">
      <c r="A14" t="s">
        <v>6</v>
      </c>
      <c r="B14" t="s">
        <v>18</v>
      </c>
      <c r="C14" t="s">
        <v>11</v>
      </c>
      <c r="D14" s="3">
        <v>64619</v>
      </c>
      <c r="E14" s="3">
        <v>53098</v>
      </c>
      <c r="F14" s="3">
        <v>11521</v>
      </c>
      <c r="G14" s="3" t="str">
        <f>IF(Table2[[#This Row],[Sales]]&gt;60000,"High",IF(Table2[[#This Row],[Sales]]&gt;=40000,"Medium","Low"))</f>
        <v>High</v>
      </c>
    </row>
    <row r="15" spans="1:7" x14ac:dyDescent="0.3">
      <c r="A15" t="s">
        <v>14</v>
      </c>
      <c r="B15" t="s">
        <v>18</v>
      </c>
      <c r="C15" t="s">
        <v>8</v>
      </c>
      <c r="D15" s="3">
        <v>63827</v>
      </c>
      <c r="E15" s="3">
        <v>50588</v>
      </c>
      <c r="F15" s="3">
        <v>13239</v>
      </c>
      <c r="G15" s="3" t="str">
        <f>IF(Table2[[#This Row],[Sales]]&gt;60000,"High",IF(Table2[[#This Row],[Sales]]&gt;=40000,"Medium","Low"))</f>
        <v>High</v>
      </c>
    </row>
    <row r="16" spans="1:7" x14ac:dyDescent="0.3">
      <c r="A16" t="s">
        <v>14</v>
      </c>
      <c r="B16" t="s">
        <v>18</v>
      </c>
      <c r="C16" t="s">
        <v>16</v>
      </c>
      <c r="D16" s="3">
        <v>61656</v>
      </c>
      <c r="E16" s="3">
        <v>33985</v>
      </c>
      <c r="F16" s="3">
        <v>27671</v>
      </c>
      <c r="G16" s="3" t="str">
        <f>IF(Table2[[#This Row],[Sales]]&gt;60000,"High",IF(Table2[[#This Row],[Sales]]&gt;=40000,"Medium","Low"))</f>
        <v>High</v>
      </c>
    </row>
    <row r="17" spans="1:7" x14ac:dyDescent="0.3">
      <c r="A17" t="s">
        <v>6</v>
      </c>
      <c r="B17" t="s">
        <v>18</v>
      </c>
      <c r="C17" t="s">
        <v>16</v>
      </c>
      <c r="D17" s="3">
        <v>59433</v>
      </c>
      <c r="E17" s="3">
        <v>40730</v>
      </c>
      <c r="F17" s="3">
        <v>18703</v>
      </c>
      <c r="G17" s="3" t="str">
        <f>IF(Table2[[#This Row],[Sales]]&gt;60000,"High",IF(Table2[[#This Row],[Sales]]&gt;=40000,"Medium","Low"))</f>
        <v>Medium</v>
      </c>
    </row>
    <row r="18" spans="1:7" x14ac:dyDescent="0.3">
      <c r="A18" t="s">
        <v>17</v>
      </c>
      <c r="B18" t="s">
        <v>15</v>
      </c>
      <c r="C18" t="s">
        <v>16</v>
      </c>
      <c r="D18" s="3">
        <v>59218</v>
      </c>
      <c r="E18" s="3">
        <v>42011</v>
      </c>
      <c r="F18" s="3">
        <v>17207</v>
      </c>
      <c r="G18" s="3" t="str">
        <f>IF(Table2[[#This Row],[Sales]]&gt;60000,"High",IF(Table2[[#This Row],[Sales]]&gt;=40000,"Medium","Low"))</f>
        <v>Medium</v>
      </c>
    </row>
    <row r="19" spans="1:7" x14ac:dyDescent="0.3">
      <c r="A19" t="s">
        <v>6</v>
      </c>
      <c r="B19" t="s">
        <v>7</v>
      </c>
      <c r="C19" t="s">
        <v>8</v>
      </c>
      <c r="D19" s="3">
        <v>57803</v>
      </c>
      <c r="E19" s="3">
        <v>54017</v>
      </c>
      <c r="F19" s="3">
        <v>3786</v>
      </c>
      <c r="G19" s="3" t="str">
        <f>IF(Table2[[#This Row],[Sales]]&gt;60000,"High",IF(Table2[[#This Row],[Sales]]&gt;=40000,"Medium","Low"))</f>
        <v>Medium</v>
      </c>
    </row>
    <row r="20" spans="1:7" x14ac:dyDescent="0.3">
      <c r="A20" t="s">
        <v>12</v>
      </c>
      <c r="B20" t="s">
        <v>15</v>
      </c>
      <c r="C20" t="s">
        <v>11</v>
      </c>
      <c r="D20" s="3">
        <v>56930</v>
      </c>
      <c r="E20" s="3">
        <v>54256</v>
      </c>
      <c r="F20" s="3">
        <v>2674</v>
      </c>
      <c r="G20" s="3" t="str">
        <f>IF(Table2[[#This Row],[Sales]]&gt;60000,"High",IF(Table2[[#This Row],[Sales]]&gt;=40000,"Medium","Low"))</f>
        <v>Medium</v>
      </c>
    </row>
    <row r="21" spans="1:7" x14ac:dyDescent="0.3">
      <c r="A21" t="s">
        <v>14</v>
      </c>
      <c r="B21" t="s">
        <v>7</v>
      </c>
      <c r="C21" t="s">
        <v>16</v>
      </c>
      <c r="D21" s="3">
        <v>55571</v>
      </c>
      <c r="E21" s="3">
        <v>26664</v>
      </c>
      <c r="F21" s="3">
        <v>28907</v>
      </c>
      <c r="G21" s="3" t="str">
        <f>IF(Table2[[#This Row],[Sales]]&gt;60000,"High",IF(Table2[[#This Row],[Sales]]&gt;=40000,"Medium","Low"))</f>
        <v>Medium</v>
      </c>
    </row>
    <row r="22" spans="1:7" x14ac:dyDescent="0.3">
      <c r="A22" t="s">
        <v>12</v>
      </c>
      <c r="B22" t="s">
        <v>15</v>
      </c>
      <c r="C22" t="s">
        <v>16</v>
      </c>
      <c r="D22" s="3">
        <v>54489</v>
      </c>
      <c r="E22" s="3">
        <v>35574</v>
      </c>
      <c r="F22" s="3">
        <v>18915</v>
      </c>
      <c r="G22" s="3" t="str">
        <f>IF(Table2[[#This Row],[Sales]]&gt;60000,"High",IF(Table2[[#This Row],[Sales]]&gt;=40000,"Medium","Low"))</f>
        <v>Medium</v>
      </c>
    </row>
    <row r="23" spans="1:7" x14ac:dyDescent="0.3">
      <c r="A23" t="s">
        <v>6</v>
      </c>
      <c r="B23" t="s">
        <v>10</v>
      </c>
      <c r="C23" t="s">
        <v>16</v>
      </c>
      <c r="D23" s="3">
        <v>53320</v>
      </c>
      <c r="E23" s="3">
        <v>20018</v>
      </c>
      <c r="F23" s="3">
        <v>33302</v>
      </c>
      <c r="G23" s="3" t="str">
        <f>IF(Table2[[#This Row],[Sales]]&gt;60000,"High",IF(Table2[[#This Row],[Sales]]&gt;=40000,"Medium","Low"))</f>
        <v>Medium</v>
      </c>
    </row>
    <row r="24" spans="1:7" x14ac:dyDescent="0.3">
      <c r="A24" t="s">
        <v>17</v>
      </c>
      <c r="B24" t="s">
        <v>10</v>
      </c>
      <c r="C24" t="s">
        <v>11</v>
      </c>
      <c r="D24" s="3">
        <v>53113</v>
      </c>
      <c r="E24" s="3">
        <v>33902</v>
      </c>
      <c r="F24" s="3">
        <v>19211</v>
      </c>
      <c r="G24" s="3" t="str">
        <f>IF(Table2[[#This Row],[Sales]]&gt;60000,"High",IF(Table2[[#This Row],[Sales]]&gt;=40000,"Medium","Low"))</f>
        <v>Medium</v>
      </c>
    </row>
    <row r="25" spans="1:7" x14ac:dyDescent="0.3">
      <c r="A25" t="s">
        <v>9</v>
      </c>
      <c r="B25" t="s">
        <v>15</v>
      </c>
      <c r="C25" t="s">
        <v>11</v>
      </c>
      <c r="D25" s="3">
        <v>52781</v>
      </c>
      <c r="E25" s="3">
        <v>44422</v>
      </c>
      <c r="F25" s="3">
        <v>8359</v>
      </c>
      <c r="G25" s="3" t="str">
        <f>IF(Table2[[#This Row],[Sales]]&gt;60000,"High",IF(Table2[[#This Row],[Sales]]&gt;=40000,"Medium","Low"))</f>
        <v>Medium</v>
      </c>
    </row>
    <row r="26" spans="1:7" x14ac:dyDescent="0.3">
      <c r="A26" t="s">
        <v>12</v>
      </c>
      <c r="B26" t="s">
        <v>7</v>
      </c>
      <c r="C26" t="s">
        <v>8</v>
      </c>
      <c r="D26" s="3">
        <v>52752</v>
      </c>
      <c r="E26" s="3">
        <v>15524</v>
      </c>
      <c r="F26" s="3">
        <v>37228</v>
      </c>
      <c r="G26" s="3" t="str">
        <f>IF(Table2[[#This Row],[Sales]]&gt;60000,"High",IF(Table2[[#This Row],[Sales]]&gt;=40000,"Medium","Low"))</f>
        <v>Medium</v>
      </c>
    </row>
    <row r="27" spans="1:7" x14ac:dyDescent="0.3">
      <c r="A27" t="s">
        <v>13</v>
      </c>
      <c r="B27" t="s">
        <v>18</v>
      </c>
      <c r="C27" t="s">
        <v>8</v>
      </c>
      <c r="D27" s="3">
        <v>51908</v>
      </c>
      <c r="E27" s="3">
        <v>25850</v>
      </c>
      <c r="F27" s="3">
        <v>26058</v>
      </c>
      <c r="G27" s="3" t="str">
        <f>IF(Table2[[#This Row],[Sales]]&gt;60000,"High",IF(Table2[[#This Row],[Sales]]&gt;=40000,"Medium","Low"))</f>
        <v>Medium</v>
      </c>
    </row>
    <row r="28" spans="1:7" x14ac:dyDescent="0.3">
      <c r="A28" t="s">
        <v>9</v>
      </c>
      <c r="B28" t="s">
        <v>15</v>
      </c>
      <c r="C28" t="s">
        <v>8</v>
      </c>
      <c r="D28" s="3">
        <v>51181</v>
      </c>
      <c r="E28" s="3">
        <v>20249</v>
      </c>
      <c r="F28" s="3">
        <v>30932</v>
      </c>
      <c r="G28" s="3" t="str">
        <f>IF(Table2[[#This Row],[Sales]]&gt;60000,"High",IF(Table2[[#This Row],[Sales]]&gt;=40000,"Medium","Low"))</f>
        <v>Medium</v>
      </c>
    </row>
    <row r="29" spans="1:7" x14ac:dyDescent="0.3">
      <c r="A29" t="s">
        <v>9</v>
      </c>
      <c r="B29" t="s">
        <v>18</v>
      </c>
      <c r="C29" t="s">
        <v>16</v>
      </c>
      <c r="D29" s="3">
        <v>51112</v>
      </c>
      <c r="E29" s="3">
        <v>11871</v>
      </c>
      <c r="F29" s="3">
        <v>39241</v>
      </c>
      <c r="G29" s="3" t="str">
        <f>IF(Table2[[#This Row],[Sales]]&gt;60000,"High",IF(Table2[[#This Row],[Sales]]&gt;=40000,"Medium","Low"))</f>
        <v>Medium</v>
      </c>
    </row>
    <row r="30" spans="1:7" x14ac:dyDescent="0.3">
      <c r="A30" t="s">
        <v>9</v>
      </c>
      <c r="B30" t="s">
        <v>10</v>
      </c>
      <c r="C30" t="s">
        <v>8</v>
      </c>
      <c r="D30" s="3">
        <v>50383</v>
      </c>
      <c r="E30" s="3">
        <v>22528</v>
      </c>
      <c r="F30" s="3">
        <v>27855</v>
      </c>
      <c r="G30" s="3" t="str">
        <f>IF(Table2[[#This Row],[Sales]]&gt;60000,"High",IF(Table2[[#This Row],[Sales]]&gt;=40000,"Medium","Low"))</f>
        <v>Medium</v>
      </c>
    </row>
    <row r="31" spans="1:7" x14ac:dyDescent="0.3">
      <c r="A31" t="s">
        <v>12</v>
      </c>
      <c r="B31" t="s">
        <v>7</v>
      </c>
      <c r="C31" t="s">
        <v>16</v>
      </c>
      <c r="D31" s="3">
        <v>48411</v>
      </c>
      <c r="E31" s="3">
        <v>16554</v>
      </c>
      <c r="F31" s="3">
        <v>31857</v>
      </c>
      <c r="G31" s="3" t="str">
        <f>IF(Table2[[#This Row],[Sales]]&gt;60000,"High",IF(Table2[[#This Row],[Sales]]&gt;=40000,"Medium","Low"))</f>
        <v>Medium</v>
      </c>
    </row>
    <row r="32" spans="1:7" x14ac:dyDescent="0.3">
      <c r="A32" t="s">
        <v>6</v>
      </c>
      <c r="B32" t="s">
        <v>18</v>
      </c>
      <c r="C32" t="s">
        <v>11</v>
      </c>
      <c r="D32" s="3">
        <v>46400</v>
      </c>
      <c r="E32" s="3">
        <v>16657</v>
      </c>
      <c r="F32" s="3">
        <v>29743</v>
      </c>
      <c r="G32" s="3" t="str">
        <f>IF(Table2[[#This Row],[Sales]]&gt;60000,"High",IF(Table2[[#This Row],[Sales]]&gt;=40000,"Medium","Low"))</f>
        <v>Medium</v>
      </c>
    </row>
    <row r="33" spans="1:7" x14ac:dyDescent="0.3">
      <c r="A33" t="s">
        <v>13</v>
      </c>
      <c r="B33" t="s">
        <v>15</v>
      </c>
      <c r="C33" t="s">
        <v>8</v>
      </c>
      <c r="D33" s="3">
        <v>46096</v>
      </c>
      <c r="E33" s="3">
        <v>24506</v>
      </c>
      <c r="F33" s="3">
        <v>21590</v>
      </c>
      <c r="G33" s="3" t="str">
        <f>IF(Table2[[#This Row],[Sales]]&gt;60000,"High",IF(Table2[[#This Row],[Sales]]&gt;=40000,"Medium","Low"))</f>
        <v>Medium</v>
      </c>
    </row>
    <row r="34" spans="1:7" x14ac:dyDescent="0.3">
      <c r="A34" t="s">
        <v>14</v>
      </c>
      <c r="B34" t="s">
        <v>7</v>
      </c>
      <c r="C34" t="s">
        <v>11</v>
      </c>
      <c r="D34" s="3">
        <v>43389</v>
      </c>
      <c r="E34" s="3">
        <v>31870</v>
      </c>
      <c r="F34" s="3">
        <v>11519</v>
      </c>
      <c r="G34" s="3" t="str">
        <f>IF(Table2[[#This Row],[Sales]]&gt;60000,"High",IF(Table2[[#This Row],[Sales]]&gt;=40000,"Medium","Low"))</f>
        <v>Medium</v>
      </c>
    </row>
    <row r="35" spans="1:7" x14ac:dyDescent="0.3">
      <c r="A35" t="s">
        <v>9</v>
      </c>
      <c r="B35" t="s">
        <v>15</v>
      </c>
      <c r="C35" t="s">
        <v>16</v>
      </c>
      <c r="D35" s="3">
        <v>41813</v>
      </c>
      <c r="E35" s="3">
        <v>30333</v>
      </c>
      <c r="F35" s="3">
        <v>11480</v>
      </c>
      <c r="G35" s="3" t="str">
        <f>IF(Table2[[#This Row],[Sales]]&gt;60000,"High",IF(Table2[[#This Row],[Sales]]&gt;=40000,"Medium","Low"))</f>
        <v>Medium</v>
      </c>
    </row>
    <row r="36" spans="1:7" x14ac:dyDescent="0.3">
      <c r="A36" t="s">
        <v>17</v>
      </c>
      <c r="B36" t="s">
        <v>10</v>
      </c>
      <c r="C36" t="s">
        <v>16</v>
      </c>
      <c r="D36" s="3">
        <v>41606</v>
      </c>
      <c r="E36" s="3">
        <v>29151</v>
      </c>
      <c r="F36" s="3">
        <v>12455</v>
      </c>
      <c r="G36" s="3" t="str">
        <f>IF(Table2[[#This Row],[Sales]]&gt;60000,"High",IF(Table2[[#This Row],[Sales]]&gt;=40000,"Medium","Low"))</f>
        <v>Medium</v>
      </c>
    </row>
    <row r="37" spans="1:7" x14ac:dyDescent="0.3">
      <c r="A37" t="s">
        <v>9</v>
      </c>
      <c r="B37" t="s">
        <v>18</v>
      </c>
      <c r="C37" t="s">
        <v>11</v>
      </c>
      <c r="D37" s="3">
        <v>38151</v>
      </c>
      <c r="E37" s="3">
        <v>28301</v>
      </c>
      <c r="F37" s="3">
        <v>9850</v>
      </c>
      <c r="G37" s="3" t="str">
        <f>IF(Table2[[#This Row],[Sales]]&gt;60000,"High",IF(Table2[[#This Row],[Sales]]&gt;=40000,"Medium","Low"))</f>
        <v>Low</v>
      </c>
    </row>
    <row r="38" spans="1:7" x14ac:dyDescent="0.3">
      <c r="A38" t="s">
        <v>6</v>
      </c>
      <c r="B38" t="s">
        <v>10</v>
      </c>
      <c r="C38" t="s">
        <v>11</v>
      </c>
      <c r="D38" s="3">
        <v>38043</v>
      </c>
      <c r="E38" s="3">
        <v>29274</v>
      </c>
      <c r="F38" s="3">
        <v>8769</v>
      </c>
      <c r="G38" s="3" t="str">
        <f>IF(Table2[[#This Row],[Sales]]&gt;60000,"High",IF(Table2[[#This Row],[Sales]]&gt;=40000,"Medium","Low"))</f>
        <v>Low</v>
      </c>
    </row>
    <row r="39" spans="1:7" x14ac:dyDescent="0.3">
      <c r="A39" t="s">
        <v>13</v>
      </c>
      <c r="B39" t="s">
        <v>15</v>
      </c>
      <c r="C39" t="s">
        <v>8</v>
      </c>
      <c r="D39" s="3">
        <v>34852</v>
      </c>
      <c r="E39" s="3">
        <v>32152</v>
      </c>
      <c r="F39" s="3">
        <v>2700</v>
      </c>
      <c r="G39" s="3" t="str">
        <f>IF(Table2[[#This Row],[Sales]]&gt;60000,"High",IF(Table2[[#This Row],[Sales]]&gt;=40000,"Medium","Low"))</f>
        <v>Low</v>
      </c>
    </row>
    <row r="40" spans="1:7" x14ac:dyDescent="0.3">
      <c r="A40" t="s">
        <v>9</v>
      </c>
      <c r="B40" t="s">
        <v>15</v>
      </c>
      <c r="C40" t="s">
        <v>8</v>
      </c>
      <c r="D40" s="3">
        <v>33301</v>
      </c>
      <c r="E40" s="3">
        <v>26484</v>
      </c>
      <c r="F40" s="3">
        <v>6817</v>
      </c>
      <c r="G40" s="3" t="str">
        <f>IF(Table2[[#This Row],[Sales]]&gt;60000,"High",IF(Table2[[#This Row],[Sales]]&gt;=40000,"Medium","Low"))</f>
        <v>Low</v>
      </c>
    </row>
    <row r="41" spans="1:7" x14ac:dyDescent="0.3">
      <c r="A41" t="s">
        <v>17</v>
      </c>
      <c r="B41" t="s">
        <v>18</v>
      </c>
      <c r="C41" t="s">
        <v>11</v>
      </c>
      <c r="D41" s="3">
        <v>31330</v>
      </c>
      <c r="E41" s="3">
        <v>21579</v>
      </c>
      <c r="F41" s="3">
        <v>9751</v>
      </c>
      <c r="G41" s="3" t="str">
        <f>IF(Table2[[#This Row],[Sales]]&gt;60000,"High",IF(Table2[[#This Row],[Sales]]&gt;=40000,"Medium","Low"))</f>
        <v>Low</v>
      </c>
    </row>
    <row r="42" spans="1:7" x14ac:dyDescent="0.3">
      <c r="A42" t="s">
        <v>12</v>
      </c>
      <c r="B42" t="s">
        <v>7</v>
      </c>
      <c r="C42" t="s">
        <v>8</v>
      </c>
      <c r="D42" s="3">
        <v>29606</v>
      </c>
      <c r="E42" s="3">
        <v>23829</v>
      </c>
      <c r="F42" s="3">
        <v>5777</v>
      </c>
      <c r="G42" s="3" t="str">
        <f>IF(Table2[[#This Row],[Sales]]&gt;60000,"High",IF(Table2[[#This Row],[Sales]]&gt;=40000,"Medium","Low"))</f>
        <v>Low</v>
      </c>
    </row>
    <row r="43" spans="1:7" x14ac:dyDescent="0.3">
      <c r="A43" t="s">
        <v>13</v>
      </c>
      <c r="B43" t="s">
        <v>7</v>
      </c>
      <c r="C43" t="s">
        <v>8</v>
      </c>
      <c r="D43" s="3">
        <v>29120</v>
      </c>
      <c r="E43" s="3">
        <v>22541</v>
      </c>
      <c r="F43" s="3">
        <v>6579</v>
      </c>
      <c r="G43" s="3" t="str">
        <f>IF(Table2[[#This Row],[Sales]]&gt;60000,"High",IF(Table2[[#This Row],[Sales]]&gt;=40000,"Medium","Low"))</f>
        <v>Low</v>
      </c>
    </row>
    <row r="44" spans="1:7" x14ac:dyDescent="0.3">
      <c r="A44" t="s">
        <v>14</v>
      </c>
      <c r="B44" t="s">
        <v>7</v>
      </c>
      <c r="C44" t="s">
        <v>8</v>
      </c>
      <c r="D44" s="3">
        <v>28334</v>
      </c>
      <c r="E44" s="3">
        <v>12516</v>
      </c>
      <c r="F44" s="3">
        <v>15818</v>
      </c>
      <c r="G44" s="3" t="str">
        <f>IF(Table2[[#This Row],[Sales]]&gt;60000,"High",IF(Table2[[#This Row],[Sales]]&gt;=40000,"Medium","Low"))</f>
        <v>Low</v>
      </c>
    </row>
    <row r="45" spans="1:7" x14ac:dyDescent="0.3">
      <c r="A45" t="s">
        <v>12</v>
      </c>
      <c r="B45" t="s">
        <v>15</v>
      </c>
      <c r="C45" t="s">
        <v>8</v>
      </c>
      <c r="D45" s="3">
        <v>27748</v>
      </c>
      <c r="E45" s="3">
        <v>16957</v>
      </c>
      <c r="F45" s="3">
        <v>10791</v>
      </c>
      <c r="G45" s="3" t="str">
        <f>IF(Table2[[#This Row],[Sales]]&gt;60000,"High",IF(Table2[[#This Row],[Sales]]&gt;=40000,"Medium","Low"))</f>
        <v>Low</v>
      </c>
    </row>
    <row r="46" spans="1:7" x14ac:dyDescent="0.3">
      <c r="A46" t="s">
        <v>14</v>
      </c>
      <c r="B46" t="s">
        <v>18</v>
      </c>
      <c r="C46" t="s">
        <v>8</v>
      </c>
      <c r="D46" s="3">
        <v>25485</v>
      </c>
      <c r="E46" s="3">
        <v>14815</v>
      </c>
      <c r="F46" s="3">
        <v>10670</v>
      </c>
      <c r="G46" s="3" t="str">
        <f>IF(Table2[[#This Row],[Sales]]&gt;60000,"High",IF(Table2[[#This Row],[Sales]]&gt;=40000,"Medium","Low"))</f>
        <v>Low</v>
      </c>
    </row>
    <row r="47" spans="1:7" x14ac:dyDescent="0.3">
      <c r="A47" t="s">
        <v>17</v>
      </c>
      <c r="B47" t="s">
        <v>10</v>
      </c>
      <c r="C47" t="s">
        <v>16</v>
      </c>
      <c r="D47" s="3">
        <v>24815</v>
      </c>
      <c r="E47" s="3">
        <v>20363</v>
      </c>
      <c r="F47" s="3">
        <v>4452</v>
      </c>
      <c r="G47" s="3" t="str">
        <f>IF(Table2[[#This Row],[Sales]]&gt;60000,"High",IF(Table2[[#This Row],[Sales]]&gt;=40000,"Medium","Low"))</f>
        <v>Low</v>
      </c>
    </row>
    <row r="48" spans="1:7" x14ac:dyDescent="0.3">
      <c r="A48" t="s">
        <v>13</v>
      </c>
      <c r="B48" t="s">
        <v>7</v>
      </c>
      <c r="C48" t="s">
        <v>8</v>
      </c>
      <c r="D48" s="3">
        <v>24494</v>
      </c>
      <c r="E48" s="3">
        <v>22491</v>
      </c>
      <c r="F48" s="3">
        <v>2003</v>
      </c>
      <c r="G48" s="3" t="str">
        <f>IF(Table2[[#This Row],[Sales]]&gt;60000,"High",IF(Table2[[#This Row],[Sales]]&gt;=40000,"Medium","Low"))</f>
        <v>Low</v>
      </c>
    </row>
    <row r="49" spans="1:7" x14ac:dyDescent="0.3">
      <c r="A49" t="s">
        <v>9</v>
      </c>
      <c r="B49" t="s">
        <v>15</v>
      </c>
      <c r="C49" t="s">
        <v>16</v>
      </c>
      <c r="D49" s="3">
        <v>22747</v>
      </c>
      <c r="E49" s="3">
        <v>14461</v>
      </c>
      <c r="F49" s="3">
        <v>8286</v>
      </c>
      <c r="G49" s="3" t="str">
        <f>IF(Table2[[#This Row],[Sales]]&gt;60000,"High",IF(Table2[[#This Row],[Sales]]&gt;=40000,"Medium","Low"))</f>
        <v>Low</v>
      </c>
    </row>
    <row r="50" spans="1:7" x14ac:dyDescent="0.3">
      <c r="A50" t="s">
        <v>17</v>
      </c>
      <c r="B50" t="s">
        <v>18</v>
      </c>
      <c r="C50" t="s">
        <v>8</v>
      </c>
      <c r="D50" s="3">
        <v>21931</v>
      </c>
      <c r="E50" s="3">
        <v>13137</v>
      </c>
      <c r="F50" s="3">
        <v>8794</v>
      </c>
      <c r="G50" s="3" t="str">
        <f>IF(Table2[[#This Row],[Sales]]&gt;60000,"High",IF(Table2[[#This Row],[Sales]]&gt;=40000,"Medium","Low"))</f>
        <v>Low</v>
      </c>
    </row>
    <row r="51" spans="1:7" x14ac:dyDescent="0.3">
      <c r="A51" t="s">
        <v>17</v>
      </c>
      <c r="B51" t="s">
        <v>10</v>
      </c>
      <c r="C51" t="s">
        <v>8</v>
      </c>
      <c r="D51" s="3">
        <v>20652</v>
      </c>
      <c r="E51" s="3">
        <v>15402</v>
      </c>
      <c r="F51" s="3">
        <v>5250</v>
      </c>
      <c r="G51" s="3" t="str">
        <f>IF(Table2[[#This Row],[Sales]]&gt;60000,"High",IF(Table2[[#This Row],[Sales]]&gt;=40000,"Medium","Low"))</f>
        <v>Low</v>
      </c>
    </row>
    <row r="52" spans="1:7" x14ac:dyDescent="0.3">
      <c r="D52" s="3"/>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B4" sqref="B4"/>
    </sheetView>
  </sheetViews>
  <sheetFormatPr defaultRowHeight="14.4" x14ac:dyDescent="0.3"/>
  <cols>
    <col min="1" max="1" width="13.33203125" bestFit="1" customWidth="1"/>
    <col min="2" max="2" width="12.88671875" bestFit="1" customWidth="1"/>
  </cols>
  <sheetData>
    <row r="1" spans="1:2" x14ac:dyDescent="0.3">
      <c r="A1" s="1" t="s">
        <v>19</v>
      </c>
      <c r="B1" s="1" t="s">
        <v>20</v>
      </c>
    </row>
    <row r="2" spans="1:2" x14ac:dyDescent="0.3">
      <c r="A2" s="1" t="s">
        <v>21</v>
      </c>
      <c r="B2" s="3">
        <f>SUM(Sales_Data!D3:D52)</f>
        <v>2434992</v>
      </c>
    </row>
    <row r="3" spans="1:2" x14ac:dyDescent="0.3">
      <c r="A3" s="1" t="s">
        <v>22</v>
      </c>
      <c r="B3" s="3">
        <f>SUM(Sales_Data!F3:F52)</f>
        <v>934593</v>
      </c>
    </row>
    <row r="4" spans="1:2" x14ac:dyDescent="0.3">
      <c r="A4" s="1" t="s">
        <v>23</v>
      </c>
      <c r="B4" s="2">
        <f>B3/B2</f>
        <v>0.38381768810739419</v>
      </c>
    </row>
    <row r="5" spans="1:2" x14ac:dyDescent="0.3">
      <c r="A5" s="1" t="s">
        <v>25</v>
      </c>
      <c r="B5" s="3">
        <f>SUM(Sales_Data!E2:E51)</f>
        <v>1535182</v>
      </c>
    </row>
    <row r="6" spans="1:2" x14ac:dyDescent="0.3">
      <c r="A6" s="1" t="s">
        <v>24</v>
      </c>
      <c r="B6" s="2">
        <f>B5/B2</f>
        <v>0.63046695841300504</v>
      </c>
    </row>
    <row r="8" spans="1:2" x14ac:dyDescent="0.3">
      <c r="A8" s="1"/>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116E9-F320-400F-A8AE-5C06FF57203E}">
  <dimension ref="A1:I42"/>
  <sheetViews>
    <sheetView zoomScale="59" zoomScaleNormal="70" workbookViewId="0">
      <selection activeCell="G32" sqref="G32"/>
    </sheetView>
  </sheetViews>
  <sheetFormatPr defaultRowHeight="14.4" x14ac:dyDescent="0.3"/>
  <cols>
    <col min="1" max="1" width="13.88671875" bestFit="1" customWidth="1"/>
    <col min="2" max="2" width="17.21875" bestFit="1" customWidth="1"/>
    <col min="3" max="3" width="23" bestFit="1" customWidth="1"/>
    <col min="5" max="5" width="14.109375" bestFit="1" customWidth="1"/>
    <col min="6" max="6" width="13" style="3" bestFit="1" customWidth="1"/>
    <col min="7" max="7" width="14.109375" bestFit="1" customWidth="1"/>
    <col min="8" max="8" width="13.6640625" bestFit="1" customWidth="1"/>
    <col min="9" max="9" width="18.77734375" bestFit="1" customWidth="1"/>
  </cols>
  <sheetData>
    <row r="1" spans="1:9" x14ac:dyDescent="0.3">
      <c r="A1" s="4" t="s">
        <v>27</v>
      </c>
      <c r="B1" t="s">
        <v>29</v>
      </c>
      <c r="C1" t="s">
        <v>40</v>
      </c>
      <c r="F1" t="s">
        <v>0</v>
      </c>
      <c r="G1" t="s">
        <v>42</v>
      </c>
      <c r="H1" s="3" t="s">
        <v>48</v>
      </c>
      <c r="I1" s="12" t="s">
        <v>49</v>
      </c>
    </row>
    <row r="2" spans="1:9" x14ac:dyDescent="0.3">
      <c r="A2" s="5" t="s">
        <v>6</v>
      </c>
      <c r="B2" s="3">
        <v>319618</v>
      </c>
      <c r="E2" s="14" t="s">
        <v>46</v>
      </c>
      <c r="F2" t="s">
        <v>6</v>
      </c>
      <c r="G2">
        <v>1</v>
      </c>
      <c r="H2" s="3">
        <v>319618</v>
      </c>
    </row>
    <row r="3" spans="1:9" x14ac:dyDescent="0.3">
      <c r="A3" s="5" t="s">
        <v>14</v>
      </c>
      <c r="B3" s="3">
        <v>278262</v>
      </c>
      <c r="E3" s="14"/>
      <c r="F3" t="s">
        <v>14</v>
      </c>
      <c r="G3">
        <v>2</v>
      </c>
      <c r="H3" s="3">
        <v>278262</v>
      </c>
    </row>
    <row r="4" spans="1:9" x14ac:dyDescent="0.3">
      <c r="A4" s="5" t="s">
        <v>12</v>
      </c>
      <c r="B4" s="3">
        <v>412137</v>
      </c>
      <c r="C4" s="3">
        <f>AVERAGE(B2:B4)</f>
        <v>336672.33333333331</v>
      </c>
      <c r="E4" s="14"/>
      <c r="F4" t="s">
        <v>12</v>
      </c>
      <c r="G4">
        <v>3</v>
      </c>
      <c r="H4" s="3">
        <v>412137</v>
      </c>
    </row>
    <row r="5" spans="1:9" x14ac:dyDescent="0.3">
      <c r="A5" s="5" t="s">
        <v>17</v>
      </c>
      <c r="B5" s="3">
        <v>544753</v>
      </c>
      <c r="C5" s="3">
        <f t="shared" ref="C5:C7" si="0">AVERAGE(B3:B5)</f>
        <v>411717.33333333331</v>
      </c>
      <c r="E5" s="14"/>
      <c r="F5" t="s">
        <v>17</v>
      </c>
      <c r="G5">
        <v>4</v>
      </c>
      <c r="H5" s="3">
        <v>544753</v>
      </c>
    </row>
    <row r="6" spans="1:9" x14ac:dyDescent="0.3">
      <c r="A6" s="5" t="s">
        <v>9</v>
      </c>
      <c r="B6" s="3">
        <v>554221</v>
      </c>
      <c r="C6" s="3">
        <f t="shared" si="0"/>
        <v>503703.66666666669</v>
      </c>
      <c r="E6" s="14"/>
      <c r="F6" t="s">
        <v>9</v>
      </c>
      <c r="G6">
        <v>5</v>
      </c>
      <c r="H6" s="3">
        <v>554221</v>
      </c>
    </row>
    <row r="7" spans="1:9" x14ac:dyDescent="0.3">
      <c r="A7" s="5" t="s">
        <v>13</v>
      </c>
      <c r="B7" s="3">
        <v>404296</v>
      </c>
      <c r="C7" s="3">
        <f t="shared" si="0"/>
        <v>501090</v>
      </c>
      <c r="E7" s="14"/>
      <c r="F7" t="s">
        <v>13</v>
      </c>
      <c r="G7">
        <v>6</v>
      </c>
      <c r="H7" s="3">
        <v>404296</v>
      </c>
    </row>
    <row r="8" spans="1:9" x14ac:dyDescent="0.3">
      <c r="A8" s="5" t="s">
        <v>28</v>
      </c>
      <c r="B8" s="3">
        <v>2513287</v>
      </c>
      <c r="E8" s="15" t="s">
        <v>47</v>
      </c>
      <c r="F8" s="12" t="s">
        <v>45</v>
      </c>
      <c r="G8" s="12">
        <v>7</v>
      </c>
      <c r="I8" s="13">
        <f>_xlfn.FORECAST.LINEAR(G8,H2:H7,G2:G7)</f>
        <v>557269.46666666667</v>
      </c>
    </row>
    <row r="9" spans="1:9" x14ac:dyDescent="0.3">
      <c r="E9" s="15"/>
      <c r="F9" s="12" t="s">
        <v>43</v>
      </c>
      <c r="G9" s="12">
        <v>8</v>
      </c>
      <c r="I9" s="13">
        <f>_xlfn.FORECAST.LINEAR(G9,H3:H8,G3:G8)</f>
        <v>596394.6</v>
      </c>
    </row>
    <row r="10" spans="1:9" x14ac:dyDescent="0.3">
      <c r="E10" s="15"/>
      <c r="F10" s="12" t="s">
        <v>44</v>
      </c>
      <c r="G10" s="12">
        <v>9</v>
      </c>
      <c r="I10" s="13">
        <f>_xlfn.FORECAST.LINEAR(G10,H4:H9,G4:G9)</f>
        <v>472527</v>
      </c>
    </row>
    <row r="20" spans="1:3" x14ac:dyDescent="0.3">
      <c r="A20" t="s">
        <v>27</v>
      </c>
      <c r="B20" t="s">
        <v>29</v>
      </c>
      <c r="C20" t="s">
        <v>40</v>
      </c>
    </row>
    <row r="21" spans="1:3" x14ac:dyDescent="0.3">
      <c r="A21" s="5" t="s">
        <v>6</v>
      </c>
      <c r="B21" s="3">
        <v>319618</v>
      </c>
    </row>
    <row r="22" spans="1:3" x14ac:dyDescent="0.3">
      <c r="A22" s="5" t="s">
        <v>14</v>
      </c>
      <c r="B22" s="3">
        <v>278262</v>
      </c>
    </row>
    <row r="23" spans="1:3" x14ac:dyDescent="0.3">
      <c r="A23" s="5" t="s">
        <v>12</v>
      </c>
      <c r="B23" s="3">
        <v>412137</v>
      </c>
      <c r="C23" s="3">
        <f>AVERAGE(B21:B23)</f>
        <v>336672.33333333331</v>
      </c>
    </row>
    <row r="24" spans="1:3" x14ac:dyDescent="0.3">
      <c r="A24" s="5" t="s">
        <v>17</v>
      </c>
      <c r="B24" s="3">
        <v>544753</v>
      </c>
      <c r="C24" s="3">
        <f t="shared" ref="C24:C26" si="1">AVERAGE(B22:B24)</f>
        <v>411717.33333333331</v>
      </c>
    </row>
    <row r="25" spans="1:3" x14ac:dyDescent="0.3">
      <c r="A25" s="5" t="s">
        <v>9</v>
      </c>
      <c r="B25" s="3">
        <v>554221</v>
      </c>
      <c r="C25" s="3">
        <f t="shared" si="1"/>
        <v>503703.66666666669</v>
      </c>
    </row>
    <row r="26" spans="1:3" x14ac:dyDescent="0.3">
      <c r="A26" s="5" t="s">
        <v>13</v>
      </c>
      <c r="B26" s="3">
        <v>404296</v>
      </c>
      <c r="C26" s="3">
        <f t="shared" si="1"/>
        <v>501090</v>
      </c>
    </row>
    <row r="42" spans="1:1" ht="21" x14ac:dyDescent="0.4">
      <c r="A42" s="11" t="s">
        <v>41</v>
      </c>
    </row>
  </sheetData>
  <mergeCells count="2">
    <mergeCell ref="E2:E7"/>
    <mergeCell ref="E8:E10"/>
  </mergeCells>
  <phoneticPr fontId="6" type="noConversion"/>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EC1AC-B336-4483-AC34-18DAADEDCDB4}">
  <dimension ref="A3:C7"/>
  <sheetViews>
    <sheetView workbookViewId="0">
      <selection activeCell="C44" sqref="C44"/>
    </sheetView>
  </sheetViews>
  <sheetFormatPr defaultRowHeight="14.4" x14ac:dyDescent="0.3"/>
  <cols>
    <col min="1" max="1" width="12.5546875" bestFit="1" customWidth="1"/>
    <col min="2" max="3" width="13.21875" bestFit="1" customWidth="1"/>
  </cols>
  <sheetData>
    <row r="3" spans="1:3" x14ac:dyDescent="0.3">
      <c r="A3" s="4" t="s">
        <v>27</v>
      </c>
      <c r="B3" t="s">
        <v>35</v>
      </c>
      <c r="C3" t="s">
        <v>29</v>
      </c>
    </row>
    <row r="4" spans="1:3" x14ac:dyDescent="0.3">
      <c r="A4" s="5" t="s">
        <v>11</v>
      </c>
      <c r="B4" s="3">
        <v>438046</v>
      </c>
      <c r="C4" s="3">
        <v>643361</v>
      </c>
    </row>
    <row r="5" spans="1:3" x14ac:dyDescent="0.3">
      <c r="A5" s="5" t="s">
        <v>8</v>
      </c>
      <c r="B5" s="3">
        <v>516662</v>
      </c>
      <c r="C5" s="3">
        <v>866795</v>
      </c>
    </row>
    <row r="6" spans="1:3" x14ac:dyDescent="0.3">
      <c r="A6" s="5" t="s">
        <v>16</v>
      </c>
      <c r="B6" s="3">
        <v>580474</v>
      </c>
      <c r="C6" s="3">
        <v>1003131</v>
      </c>
    </row>
    <row r="7" spans="1:3" x14ac:dyDescent="0.3">
      <c r="A7" s="5" t="s">
        <v>28</v>
      </c>
      <c r="B7" s="3">
        <v>1535182</v>
      </c>
      <c r="C7" s="3">
        <v>2513287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1037A-D51C-4335-94A5-78598FE301D3}">
  <dimension ref="A1:B8"/>
  <sheetViews>
    <sheetView tabSelected="1" workbookViewId="0">
      <selection activeCell="K4" sqref="K4"/>
    </sheetView>
  </sheetViews>
  <sheetFormatPr defaultRowHeight="14.4" x14ac:dyDescent="0.3"/>
  <cols>
    <col min="1" max="1" width="12.5546875" bestFit="1" customWidth="1"/>
    <col min="2" max="2" width="12.109375" bestFit="1" customWidth="1"/>
  </cols>
  <sheetData>
    <row r="1" spans="1:2" x14ac:dyDescent="0.3">
      <c r="A1" s="4" t="s">
        <v>27</v>
      </c>
      <c r="B1" t="s">
        <v>30</v>
      </c>
    </row>
    <row r="2" spans="1:2" x14ac:dyDescent="0.3">
      <c r="A2" s="5" t="s">
        <v>6</v>
      </c>
      <c r="B2" s="3">
        <v>105824</v>
      </c>
    </row>
    <row r="3" spans="1:2" x14ac:dyDescent="0.3">
      <c r="A3" s="5" t="s">
        <v>14</v>
      </c>
      <c r="B3" s="3">
        <v>107824</v>
      </c>
    </row>
    <row r="4" spans="1:2" x14ac:dyDescent="0.3">
      <c r="A4" s="5" t="s">
        <v>12</v>
      </c>
      <c r="B4" s="3">
        <v>188625</v>
      </c>
    </row>
    <row r="5" spans="1:2" x14ac:dyDescent="0.3">
      <c r="A5" s="5" t="s">
        <v>17</v>
      </c>
      <c r="B5" s="3">
        <v>185395</v>
      </c>
    </row>
    <row r="6" spans="1:2" x14ac:dyDescent="0.3">
      <c r="A6" s="5" t="s">
        <v>9</v>
      </c>
      <c r="B6" s="3">
        <v>208737</v>
      </c>
    </row>
    <row r="7" spans="1:2" x14ac:dyDescent="0.3">
      <c r="A7" s="5" t="s">
        <v>13</v>
      </c>
      <c r="B7" s="3">
        <v>181700</v>
      </c>
    </row>
    <row r="8" spans="1:2" x14ac:dyDescent="0.3">
      <c r="A8" s="5" t="s">
        <v>28</v>
      </c>
      <c r="B8" s="3">
        <v>978105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9FF7B-8703-42A0-96AA-0A3614D9647D}">
  <dimension ref="A1:B6"/>
  <sheetViews>
    <sheetView topLeftCell="I1" workbookViewId="0">
      <selection activeCell="L19" sqref="L19"/>
    </sheetView>
  </sheetViews>
  <sheetFormatPr defaultRowHeight="14.4" x14ac:dyDescent="0.3"/>
  <cols>
    <col min="1" max="1" width="12.5546875" bestFit="1" customWidth="1"/>
    <col min="2" max="2" width="12.109375" bestFit="1" customWidth="1"/>
  </cols>
  <sheetData>
    <row r="1" spans="1:2" x14ac:dyDescent="0.3">
      <c r="A1" s="4" t="s">
        <v>27</v>
      </c>
      <c r="B1" t="s">
        <v>30</v>
      </c>
    </row>
    <row r="2" spans="1:2" x14ac:dyDescent="0.3">
      <c r="A2" s="5" t="s">
        <v>7</v>
      </c>
      <c r="B2" s="3">
        <v>229856</v>
      </c>
    </row>
    <row r="3" spans="1:2" x14ac:dyDescent="0.3">
      <c r="A3" s="5" t="s">
        <v>10</v>
      </c>
      <c r="B3" s="3">
        <v>222985</v>
      </c>
    </row>
    <row r="4" spans="1:2" x14ac:dyDescent="0.3">
      <c r="A4" s="5" t="s">
        <v>18</v>
      </c>
      <c r="B4" s="3">
        <v>315559</v>
      </c>
    </row>
    <row r="5" spans="1:2" x14ac:dyDescent="0.3">
      <c r="A5" s="5" t="s">
        <v>15</v>
      </c>
      <c r="B5" s="3">
        <v>209705</v>
      </c>
    </row>
    <row r="6" spans="1:2" x14ac:dyDescent="0.3">
      <c r="A6" s="5" t="s">
        <v>28</v>
      </c>
      <c r="B6" s="3">
        <v>978105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66A8B-126F-4079-BC75-C2E7D43B1D0E}">
  <dimension ref="A3:C7"/>
  <sheetViews>
    <sheetView topLeftCell="D8" workbookViewId="0">
      <selection activeCell="F27" sqref="F27"/>
    </sheetView>
  </sheetViews>
  <sheetFormatPr defaultRowHeight="14.4" x14ac:dyDescent="0.3"/>
  <cols>
    <col min="1" max="1" width="12.5546875" bestFit="1" customWidth="1"/>
    <col min="2" max="2" width="13.21875" bestFit="1" customWidth="1"/>
    <col min="3" max="3" width="12.109375" bestFit="1" customWidth="1"/>
  </cols>
  <sheetData>
    <row r="3" spans="1:3" x14ac:dyDescent="0.3">
      <c r="A3" s="4" t="s">
        <v>27</v>
      </c>
      <c r="B3" t="s">
        <v>29</v>
      </c>
      <c r="C3" t="s">
        <v>30</v>
      </c>
    </row>
    <row r="4" spans="1:3" x14ac:dyDescent="0.3">
      <c r="A4" s="5" t="s">
        <v>11</v>
      </c>
      <c r="B4" s="3">
        <v>643361</v>
      </c>
      <c r="C4" s="3">
        <v>205315</v>
      </c>
    </row>
    <row r="5" spans="1:3" x14ac:dyDescent="0.3">
      <c r="A5" s="5" t="s">
        <v>8</v>
      </c>
      <c r="B5" s="3">
        <v>866795</v>
      </c>
      <c r="C5" s="3">
        <v>350133</v>
      </c>
    </row>
    <row r="6" spans="1:3" x14ac:dyDescent="0.3">
      <c r="A6" s="5" t="s">
        <v>16</v>
      </c>
      <c r="B6" s="3">
        <v>1003131</v>
      </c>
      <c r="C6" s="3">
        <v>422657</v>
      </c>
    </row>
    <row r="7" spans="1:3" x14ac:dyDescent="0.3">
      <c r="A7" s="5" t="s">
        <v>28</v>
      </c>
      <c r="B7" s="3">
        <v>2513287</v>
      </c>
      <c r="C7" s="3">
        <v>978105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BB989-0170-46F5-84B2-59FAB72C69DF}">
  <dimension ref="A3:B7"/>
  <sheetViews>
    <sheetView workbookViewId="0">
      <selection activeCell="D20" sqref="D20"/>
    </sheetView>
  </sheetViews>
  <sheetFormatPr defaultRowHeight="14.4" x14ac:dyDescent="0.3"/>
  <cols>
    <col min="1" max="1" width="12.5546875" bestFit="1" customWidth="1"/>
    <col min="2" max="2" width="21.33203125" bestFit="1" customWidth="1"/>
  </cols>
  <sheetData>
    <row r="3" spans="1:2" x14ac:dyDescent="0.3">
      <c r="A3" s="4" t="s">
        <v>27</v>
      </c>
      <c r="B3" t="s">
        <v>34</v>
      </c>
    </row>
    <row r="4" spans="1:2" x14ac:dyDescent="0.3">
      <c r="A4" s="5" t="s">
        <v>31</v>
      </c>
      <c r="B4">
        <v>15</v>
      </c>
    </row>
    <row r="5" spans="1:2" x14ac:dyDescent="0.3">
      <c r="A5" s="5" t="s">
        <v>32</v>
      </c>
      <c r="B5">
        <v>15</v>
      </c>
    </row>
    <row r="6" spans="1:2" x14ac:dyDescent="0.3">
      <c r="A6" s="5" t="s">
        <v>33</v>
      </c>
      <c r="B6">
        <v>20</v>
      </c>
    </row>
    <row r="7" spans="1:2" x14ac:dyDescent="0.3">
      <c r="A7" s="5" t="s">
        <v>28</v>
      </c>
      <c r="B7">
        <v>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1B9F7-EEBF-46D4-BD84-65E2AA267762}">
  <dimension ref="B2:F3"/>
  <sheetViews>
    <sheetView showGridLines="0" zoomScale="41" workbookViewId="0">
      <selection activeCell="B35" sqref="B35"/>
    </sheetView>
  </sheetViews>
  <sheetFormatPr defaultRowHeight="14.4" x14ac:dyDescent="0.3"/>
  <cols>
    <col min="2" max="2" width="38.5546875" customWidth="1"/>
    <col min="3" max="3" width="37.109375" customWidth="1"/>
    <col min="4" max="4" width="33.21875" customWidth="1"/>
    <col min="5" max="5" width="34" customWidth="1"/>
    <col min="6" max="6" width="50.109375" customWidth="1"/>
  </cols>
  <sheetData>
    <row r="2" spans="2:6" s="6" customFormat="1" ht="192" x14ac:dyDescent="0.3">
      <c r="B2" s="7" t="s">
        <v>21</v>
      </c>
      <c r="C2" s="7" t="s">
        <v>22</v>
      </c>
      <c r="D2" s="7" t="s">
        <v>38</v>
      </c>
      <c r="E2" s="7" t="s">
        <v>36</v>
      </c>
      <c r="F2" s="7" t="s">
        <v>37</v>
      </c>
    </row>
    <row r="3" spans="2:6" s="6" customFormat="1" ht="38.4" x14ac:dyDescent="0.3">
      <c r="B3" s="8">
        <f>SUM(Table2[Sales])</f>
        <v>2513287</v>
      </c>
      <c r="C3" s="8">
        <f>SUM(Sales_Data!F:F)</f>
        <v>978105</v>
      </c>
      <c r="D3" s="9">
        <f>C3/B3</f>
        <v>0.38917362004418915</v>
      </c>
      <c r="E3" s="10" t="str">
        <f>INDEX(Product_Sheet!A2:A4, MATCH(MAX(Product_Sheet!B2:B4), Product_Sheet!B2:B4, 0))</f>
        <v>Product B</v>
      </c>
      <c r="F3" s="10" t="str">
        <f>INDEX(Region_Sheet!A2:A5, MATCH(MAX(Region_Sheet!B2:B5), Region_Sheet!B2:B5, 0))</f>
        <v>East</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Product_Sheet</vt:lpstr>
      <vt:lpstr>Region_Sheet</vt:lpstr>
      <vt:lpstr>Sales_Data</vt:lpstr>
      <vt:lpstr>Summary</vt:lpstr>
      <vt:lpstr>Monthly _Sales_Trend</vt:lpstr>
      <vt:lpstr>Cost_vs_Sales</vt:lpstr>
      <vt:lpstr>Monthly_Profit_Trend</vt:lpstr>
      <vt:lpstr>Region_Profit_Analysis</vt:lpstr>
      <vt:lpstr>Product_Performance</vt:lpstr>
      <vt:lpstr>Sales_Category_Distribution</vt:lpstr>
      <vt:lpstr>Sales_Dashboard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Aravind T M</cp:lastModifiedBy>
  <dcterms:created xsi:type="dcterms:W3CDTF">2025-12-24T07:27:59Z</dcterms:created>
  <dcterms:modified xsi:type="dcterms:W3CDTF">2025-12-26T07:21:43Z</dcterms:modified>
</cp:coreProperties>
</file>