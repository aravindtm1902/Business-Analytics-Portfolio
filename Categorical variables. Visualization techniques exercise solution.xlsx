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8_{6523A1B3-A730-48B1-8324-1F2169BD45B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requency distribution table" sheetId="4" r:id="rId1"/>
    <sheet name="Bar chart" sheetId="8" r:id="rId2"/>
    <sheet name="Pie chart" sheetId="7" r:id="rId3"/>
    <sheet name="Pareto diagram" sheetId="12" r:id="rId4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2" l="1"/>
  <c r="D14" i="12" l="1"/>
  <c r="D15" i="12"/>
  <c r="D13" i="12"/>
  <c r="E13" i="12"/>
  <c r="D16" i="12" l="1"/>
  <c r="E14" i="12"/>
  <c r="E15" i="12" s="1"/>
  <c r="C14" i="8"/>
  <c r="C17" i="4"/>
  <c r="C15" i="7"/>
  <c r="D13" i="7" s="1"/>
  <c r="E13" i="7" s="1"/>
  <c r="D14" i="7" l="1"/>
  <c r="E14" i="7" s="1"/>
  <c r="D12" i="7"/>
  <c r="D15" i="7" l="1"/>
  <c r="E15" i="7" s="1"/>
  <c r="E12" i="7"/>
</calcChain>
</file>

<file path=xl/sharedStrings.xml><?xml version="1.0" encoding="utf-8"?>
<sst xmlns="http://schemas.openxmlformats.org/spreadsheetml/2006/main" count="61" uniqueCount="32">
  <si>
    <t>Frequency</t>
  </si>
  <si>
    <t>Ordered</t>
  </si>
  <si>
    <t>Cumulative frequency</t>
  </si>
  <si>
    <t>Relative frequency</t>
  </si>
  <si>
    <t>Total</t>
  </si>
  <si>
    <t>Background</t>
  </si>
  <si>
    <t>Data</t>
  </si>
  <si>
    <t>Ice cream shop</t>
  </si>
  <si>
    <t>There is an ice cream shop, that is operating in New York, LA and San Francisco.</t>
  </si>
  <si>
    <t>Task</t>
  </si>
  <si>
    <t>Order the data in a frequency distribution table.</t>
  </si>
  <si>
    <t>New York</t>
  </si>
  <si>
    <t>LA</t>
  </si>
  <si>
    <t>San Francisco</t>
  </si>
  <si>
    <t>You have a frequency distribution table with all the sales.</t>
  </si>
  <si>
    <t>Task 1</t>
  </si>
  <si>
    <t>Task 2</t>
  </si>
  <si>
    <t>Create a pie chart, representing the share of each city to the sales of your company.</t>
  </si>
  <si>
    <t>Create a new column in your table, representing the relative frequency of input. You can choose to express it in percentages or as a decimal.</t>
  </si>
  <si>
    <t>or.. relative frequency</t>
  </si>
  <si>
    <t>Solution:</t>
  </si>
  <si>
    <t>Both solutions are acceptable. However, the left one is the one that you would observe more often.</t>
  </si>
  <si>
    <t>You have a frequency distribution table with all the sales. You also have the relative frequency from the pie chart problem.</t>
  </si>
  <si>
    <t>Order the table by frequency.</t>
  </si>
  <si>
    <t>Create a bar (column) chart representing the ordered data.</t>
  </si>
  <si>
    <t>Task 3</t>
  </si>
  <si>
    <t xml:space="preserve">In a new column, calculate the cumulative frequency of the data. </t>
  </si>
  <si>
    <t>Task 4</t>
  </si>
  <si>
    <t>On a second axis in the same chart, represent the cumulative frequency of the data.</t>
  </si>
  <si>
    <t>Note: You may solve these problems both on paper or in a software of your choice. The medium is not crucial.</t>
  </si>
  <si>
    <t>Categorical variables. Visualization techniques</t>
  </si>
  <si>
    <t>You have sold 12,327 ice creams in New York; 17,129 in LA and 19,923 in San Francisco.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</si>
</sst>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sz val="9"/>
      <color theme="1"/>
      <name val="Arial"/>
      <family val="2"/>
    </font>
    <font>
      <i/>
      <sz val="9"/>
      <color rgb="FF002060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medium">
        <color rgb="FF002060"/>
      </top>
      <bottom/>
      <diagonal/>
    </border>
    <border>
      <left/>
      <right/>
      <top style="medium">
        <color rgb="FF002060"/>
      </top>
      <bottom style="thick">
        <color rgb="FF00206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4" fillId="2" borderId="1" xfId="0" applyFont="1" applyFill="1" applyBorder="1"/>
    <xf numFmtId="0" fontId="5" fillId="2" borderId="1" xfId="0" applyFont="1" applyFill="1" applyBorder="1"/>
    <xf numFmtId="9" fontId="4" fillId="2" borderId="0" xfId="1" applyFont="1" applyFill="1"/>
    <xf numFmtId="0" fontId="3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right"/>
    </xf>
    <xf numFmtId="9" fontId="4" fillId="2" borderId="0" xfId="1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9" fontId="4" fillId="2" borderId="3" xfId="0" applyNumberFormat="1" applyFont="1" applyFill="1" applyBorder="1"/>
    <xf numFmtId="9" fontId="4" fillId="2" borderId="0" xfId="0" applyNumberFormat="1" applyFont="1" applyFill="1"/>
    <xf numFmtId="2" fontId="4" fillId="2" borderId="0" xfId="0" applyNumberFormat="1" applyFont="1" applyFill="1"/>
    <xf numFmtId="2" fontId="4" fillId="2" borderId="3" xfId="0" applyNumberFormat="1" applyFont="1" applyFill="1" applyBorder="1"/>
    <xf numFmtId="0" fontId="6" fillId="2" borderId="0" xfId="0" applyFont="1" applyFill="1"/>
    <xf numFmtId="0" fontId="7" fillId="2" borderId="0" xfId="2" applyFill="1"/>
    <xf numFmtId="165" fontId="4" fillId="2" borderId="0" xfId="3" applyNumberFormat="1" applyFont="1" applyFill="1"/>
    <xf numFmtId="165" fontId="4" fillId="2" borderId="3" xfId="3" applyNumberFormat="1" applyFont="1" applyFill="1" applyBorder="1"/>
  </cellXfs>
  <cellStyles count="4">
    <cellStyle name="Comma" xfId="3" builtinId="3"/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53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00" b="1" i="0" u="none" strike="noStrike" kern="120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Sales</a:t>
            </a:r>
            <a:endParaRPr lang="en-US" sz="1300" b="1" i="0" u="none" strike="noStrike" kern="1200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9.9407518913077045E-2"/>
          <c:y val="4.6658926918159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1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chart'!$B$11:$B$13</c:f>
              <c:strCache>
                <c:ptCount val="3"/>
                <c:pt idx="0">
                  <c:v>New York</c:v>
                </c:pt>
                <c:pt idx="1">
                  <c:v>LA</c:v>
                </c:pt>
                <c:pt idx="2">
                  <c:v>San Francisco</c:v>
                </c:pt>
              </c:strCache>
            </c:strRef>
          </c:cat>
          <c:val>
            <c:numRef>
              <c:f>'Bar chart'!$C$11:$C$13</c:f>
              <c:numCache>
                <c:formatCode>_(* #,##0_);_(* \(#,##0\);_(* "-"??_);_(@_)</c:formatCode>
                <c:ptCount val="3"/>
                <c:pt idx="0">
                  <c:v>12327</c:v>
                </c:pt>
                <c:pt idx="1">
                  <c:v>17129</c:v>
                </c:pt>
                <c:pt idx="2">
                  <c:v>19923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E7-4323-B7AF-1EFC390C5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7"/>
        <c:axId val="379377088"/>
        <c:axId val="379373480"/>
      </c:barChart>
      <c:catAx>
        <c:axId val="37937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9373480"/>
        <c:crosses val="autoZero"/>
        <c:auto val="1"/>
        <c:lblAlgn val="ctr"/>
        <c:lblOffset val="100"/>
        <c:noMultiLvlLbl val="0"/>
      </c:catAx>
      <c:valAx>
        <c:axId val="379373480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900" b="0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crossAx val="379377088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00" b="1" i="0" u="none" strike="noStrike" kern="120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Sales</a:t>
            </a:r>
            <a:endParaRPr lang="en-US" sz="1300" b="1" i="0" u="none" strike="noStrike" kern="1200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9.9407518913077045E-2"/>
          <c:y val="4.6658926918159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1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chart'!$B$11:$B$13</c:f>
              <c:strCache>
                <c:ptCount val="3"/>
                <c:pt idx="0">
                  <c:v>New York</c:v>
                </c:pt>
                <c:pt idx="1">
                  <c:v>LA</c:v>
                </c:pt>
                <c:pt idx="2">
                  <c:v>San Francisco</c:v>
                </c:pt>
              </c:strCache>
            </c:strRef>
          </c:cat>
          <c:val>
            <c:numRef>
              <c:f>'Bar chart'!$C$11:$C$13</c:f>
              <c:numCache>
                <c:formatCode>_(* #,##0_);_(* \(#,##0\);_(* "-"??_);_(@_)</c:formatCode>
                <c:ptCount val="3"/>
                <c:pt idx="0">
                  <c:v>12327</c:v>
                </c:pt>
                <c:pt idx="1">
                  <c:v>17129</c:v>
                </c:pt>
                <c:pt idx="2">
                  <c:v>19923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00-47A2-8781-EDDF77782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79377088"/>
        <c:axId val="379373480"/>
      </c:barChart>
      <c:catAx>
        <c:axId val="379377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9373480"/>
        <c:crosses val="autoZero"/>
        <c:auto val="1"/>
        <c:lblAlgn val="ctr"/>
        <c:lblOffset val="100"/>
        <c:noMultiLvlLbl val="0"/>
      </c:catAx>
      <c:valAx>
        <c:axId val="379373480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900" b="0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crossAx val="379377088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3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50" b="1" i="0" u="none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Ice cream sales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3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4E-4285-8D61-291BFA59ED51}"/>
              </c:ext>
            </c:extLst>
          </c:dPt>
          <c:dPt>
            <c:idx val="1"/>
            <c:bubble3D val="0"/>
            <c:spPr>
              <a:solidFill>
                <a:srgbClr val="FF535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04E-4285-8D61-291BFA59ED51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04E-4285-8D61-291BFA59ED51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'Pie chart'!$B$12:$B$14</c:f>
              <c:strCache>
                <c:ptCount val="3"/>
                <c:pt idx="0">
                  <c:v>New York</c:v>
                </c:pt>
                <c:pt idx="1">
                  <c:v>LA</c:v>
                </c:pt>
                <c:pt idx="2">
                  <c:v>San Francisco</c:v>
                </c:pt>
              </c:strCache>
            </c:strRef>
          </c:cat>
          <c:val>
            <c:numRef>
              <c:f>'Pie chart'!$C$12:$C$14</c:f>
              <c:numCache>
                <c:formatCode>_(* #,##0_);_(* \(#,##0\);_(* "-"??_);_(@_)</c:formatCode>
                <c:ptCount val="3"/>
                <c:pt idx="0">
                  <c:v>12327</c:v>
                </c:pt>
                <c:pt idx="1">
                  <c:v>17129</c:v>
                </c:pt>
                <c:pt idx="2">
                  <c:v>19923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4E-4285-8D61-291BFA59E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3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50" b="1" i="0" u="none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Ice cream sales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3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9E-4BC2-ACC3-870BEA1BEB5E}"/>
              </c:ext>
            </c:extLst>
          </c:dPt>
          <c:dPt>
            <c:idx val="1"/>
            <c:bubble3D val="0"/>
            <c:spPr>
              <a:solidFill>
                <a:srgbClr val="FF535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49E-4BC2-ACC3-870BEA1BEB5E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49E-4BC2-ACC3-870BEA1BEB5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46A19CC-492B-4029-9381-F817D1EF4396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258F6B65-1151-4F88-9C49-99CB8A4E818C}" type="CATEGORYNAME">
                      <a:rPr lang="en-US" baseline="0"/>
                      <a:pPr/>
                      <a:t>[CATEGORY NAME]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49E-4BC2-ACC3-870BEA1BEB5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EEC4DBB-AFFC-493A-8823-0EDB786F28E5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4CBAA598-AE97-4BA3-9F3C-A6023D4ACA0E}" type="CATEGORYNAME">
                      <a:rPr lang="en-US" baseline="0"/>
                      <a:pPr/>
                      <a:t>[CATEGORY NAME]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49E-4BC2-ACC3-870BEA1BEB5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071974E-F7B7-4DF5-830B-170B3995A7D3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48593CBA-E190-4A6A-8F2C-B825E8F3D28E}" type="CATEGORYNAME">
                      <a:rPr lang="en-US" baseline="0"/>
                      <a:pPr/>
                      <a:t>[CATEGORY NAME]</a:t>
                    </a:fld>
                    <a:endParaRPr lang="en-US" baseline="0"/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49E-4BC2-ACC3-870BEA1BEB5E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</c:ext>
            </c:extLst>
          </c:dLbls>
          <c:cat>
            <c:strRef>
              <c:f>'Pie chart'!$B$12:$B$14</c:f>
              <c:strCache>
                <c:ptCount val="3"/>
                <c:pt idx="0">
                  <c:v>New York</c:v>
                </c:pt>
                <c:pt idx="1">
                  <c:v>LA</c:v>
                </c:pt>
                <c:pt idx="2">
                  <c:v>San Francisco</c:v>
                </c:pt>
              </c:strCache>
            </c:strRef>
          </c:cat>
          <c:val>
            <c:numRef>
              <c:f>'Pie chart'!$C$12:$C$14</c:f>
              <c:numCache>
                <c:formatCode>_(* #,##0_);_(* \(#,##0\);_(* "-"??_);_(@_)</c:formatCode>
                <c:ptCount val="3"/>
                <c:pt idx="0">
                  <c:v>12327</c:v>
                </c:pt>
                <c:pt idx="1">
                  <c:v>17129</c:v>
                </c:pt>
                <c:pt idx="2">
                  <c:v>19923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'Pie chart'!$E$12:$E$14</c15:f>
                <c15:dlblRangeCache>
                  <c:ptCount val="3"/>
                  <c:pt idx="0">
                    <c:v>0.25</c:v>
                  </c:pt>
                  <c:pt idx="1">
                    <c:v>0.35</c:v>
                  </c:pt>
                  <c:pt idx="2">
                    <c:v>0.40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449E-4BC2-ACC3-870BEA1BE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000" b="1" i="0" u="none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00" b="1" i="0" u="none" strike="noStrike" kern="120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Sales</a:t>
            </a:r>
          </a:p>
        </c:rich>
      </c:tx>
      <c:layout>
        <c:manualLayout>
          <c:xMode val="edge"/>
          <c:yMode val="edge"/>
          <c:x val="0.11166242087386134"/>
          <c:y val="3.99933659298510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000" b="1" i="0" u="none" strike="noStrike" kern="1200" spc="0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'Pareto diagram'!$B$13:$B$15</c:f>
              <c:strCache>
                <c:ptCount val="3"/>
                <c:pt idx="0">
                  <c:v>San Francisco</c:v>
                </c:pt>
                <c:pt idx="1">
                  <c:v>LA</c:v>
                </c:pt>
                <c:pt idx="2">
                  <c:v>New York</c:v>
                </c:pt>
              </c:strCache>
            </c:strRef>
          </c:cat>
          <c:val>
            <c:numRef>
              <c:f>'Pareto diagram'!$C$13:$C$15</c:f>
              <c:numCache>
                <c:formatCode>_(* #,##0_);_(* \(#,##0\);_(* "-"??_);_(@_)</c:formatCode>
                <c:ptCount val="3"/>
                <c:pt idx="0">
                  <c:v>19923</c:v>
                </c:pt>
                <c:pt idx="1">
                  <c:v>17129</c:v>
                </c:pt>
                <c:pt idx="2">
                  <c:v>12327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2-41B8-93EF-52BD8426E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9"/>
        <c:overlap val="-27"/>
        <c:axId val="379377088"/>
        <c:axId val="379373480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'Pareto diagram'!$B$13:$B$15</c:f>
              <c:strCache>
                <c:ptCount val="3"/>
                <c:pt idx="0">
                  <c:v>San Francisco</c:v>
                </c:pt>
                <c:pt idx="1">
                  <c:v>LA</c:v>
                </c:pt>
                <c:pt idx="2">
                  <c:v>New York</c:v>
                </c:pt>
              </c:strCache>
            </c:strRef>
          </c:cat>
          <c:val>
            <c:numRef>
              <c:f>'Pareto diagram'!$E$13:$E$15</c:f>
              <c:numCache>
                <c:formatCode>0%</c:formatCode>
                <c:ptCount val="3"/>
                <c:pt idx="0">
                  <c:v>0.40347111120111789</c:v>
                </c:pt>
                <c:pt idx="1">
                  <c:v>0.75035946454970737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E2-41B8-93EF-52BD8426E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378072"/>
        <c:axId val="379377416"/>
      </c:lineChart>
      <c:catAx>
        <c:axId val="37937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9373480"/>
        <c:crosses val="autoZero"/>
        <c:auto val="1"/>
        <c:lblAlgn val="ctr"/>
        <c:lblOffset val="100"/>
        <c:noMultiLvlLbl val="0"/>
      </c:catAx>
      <c:valAx>
        <c:axId val="379373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900" b="1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9377088"/>
        <c:crosses val="autoZero"/>
        <c:crossBetween val="between"/>
        <c:minorUnit val="200"/>
      </c:valAx>
      <c:valAx>
        <c:axId val="379377416"/>
        <c:scaling>
          <c:orientation val="minMax"/>
          <c:max val="1"/>
          <c:min val="0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9378072"/>
        <c:crosses val="max"/>
        <c:crossBetween val="between"/>
      </c:valAx>
      <c:catAx>
        <c:axId val="3793780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93774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45390</xdr:colOff>
      <xdr:row>17</xdr:row>
      <xdr:rowOff>95368</xdr:rowOff>
    </xdr:from>
    <xdr:to>
      <xdr:col>5</xdr:col>
      <xdr:colOff>419100</xdr:colOff>
      <xdr:row>34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0732B7-F434-46A8-9887-414641E356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594360</xdr:colOff>
      <xdr:row>18</xdr:row>
      <xdr:rowOff>99060</xdr:rowOff>
    </xdr:from>
    <xdr:to>
      <xdr:col>13</xdr:col>
      <xdr:colOff>15570</xdr:colOff>
      <xdr:row>33</xdr:row>
      <xdr:rowOff>110372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4E5647-D9DB-45DE-BE46-663136DC4A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313733</xdr:colOff>
      <xdr:row>9</xdr:row>
      <xdr:rowOff>38100</xdr:rowOff>
    </xdr:from>
    <xdr:to>
      <xdr:col>12</xdr:col>
      <xdr:colOff>99061</xdr:colOff>
      <xdr:row>21</xdr:row>
      <xdr:rowOff>97313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5E097E-740F-4757-B702-690F11A89C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495300</xdr:colOff>
      <xdr:row>9</xdr:row>
      <xdr:rowOff>15240</xdr:rowOff>
    </xdr:from>
    <xdr:to>
      <xdr:col>16</xdr:col>
      <xdr:colOff>280628</xdr:colOff>
      <xdr:row>21</xdr:row>
      <xdr:rowOff>74453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C547C91-D65C-49A4-ACB7-DAEC717C8B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578653</xdr:colOff>
      <xdr:row>9</xdr:row>
      <xdr:rowOff>36522</xdr:rowOff>
    </xdr:from>
    <xdr:to>
      <xdr:col>15</xdr:col>
      <xdr:colOff>413057</xdr:colOff>
      <xdr:row>26</xdr:row>
      <xdr:rowOff>58069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9CA83A-93A0-4CF1-9EC8-B383C35AF8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8"/>
  <sheetViews>
    <sheetView zoomScaleNormal="100" workbookViewId="0"/>
  </sheetViews>
  <sheetFormatPr defaultRowHeight="11.4" x14ac:dyDescent="0.2"/>
  <cols>
    <col min="1" max="1" width="2" style="3" customWidth="1"/>
    <col min="2" max="2" width="12.5546875" style="3" customWidth="1"/>
    <col min="3" max="3" width="10.109375" style="3" customWidth="1"/>
    <col min="4" max="4" width="15.88671875" style="3" bestFit="1" customWidth="1"/>
    <col min="5" max="16384" width="8.88671875" style="3"/>
  </cols>
  <sheetData>
    <row r="1" spans="2:4" ht="15.6" x14ac:dyDescent="0.3">
      <c r="B1" s="1" t="s">
        <v>30</v>
      </c>
    </row>
    <row r="2" spans="2:4" ht="12" x14ac:dyDescent="0.25">
      <c r="B2" s="2" t="s">
        <v>7</v>
      </c>
    </row>
    <row r="4" spans="2:4" x14ac:dyDescent="0.2">
      <c r="B4" s="3" t="s">
        <v>29</v>
      </c>
    </row>
    <row r="6" spans="2:4" ht="12" x14ac:dyDescent="0.25">
      <c r="B6" s="2" t="s">
        <v>5</v>
      </c>
      <c r="C6" s="3" t="s">
        <v>8</v>
      </c>
      <c r="D6" s="8"/>
    </row>
    <row r="7" spans="2:4" ht="12" x14ac:dyDescent="0.25">
      <c r="B7" s="2" t="s">
        <v>6</v>
      </c>
      <c r="C7" s="3" t="s">
        <v>31</v>
      </c>
      <c r="D7" s="9"/>
    </row>
    <row r="8" spans="2:4" ht="12" x14ac:dyDescent="0.25">
      <c r="B8" s="2" t="s">
        <v>9</v>
      </c>
      <c r="C8" s="3" t="s">
        <v>10</v>
      </c>
      <c r="D8" s="9"/>
    </row>
    <row r="9" spans="2:4" x14ac:dyDescent="0.2">
      <c r="D9" s="9"/>
    </row>
    <row r="11" spans="2:4" ht="12" x14ac:dyDescent="0.25">
      <c r="B11" s="2" t="s">
        <v>20</v>
      </c>
    </row>
    <row r="13" spans="2:4" ht="12.6" thickBot="1" x14ac:dyDescent="0.3">
      <c r="B13" s="4"/>
      <c r="C13" s="7" t="s">
        <v>0</v>
      </c>
    </row>
    <row r="14" spans="2:4" ht="12" x14ac:dyDescent="0.25">
      <c r="B14" s="10" t="s">
        <v>11</v>
      </c>
      <c r="C14" s="18">
        <v>12327</v>
      </c>
    </row>
    <row r="15" spans="2:4" ht="12" x14ac:dyDescent="0.25">
      <c r="B15" s="2" t="s">
        <v>12</v>
      </c>
      <c r="C15" s="18">
        <v>17129</v>
      </c>
    </row>
    <row r="16" spans="2:4" ht="12.6" thickBot="1" x14ac:dyDescent="0.3">
      <c r="B16" s="2" t="s">
        <v>13</v>
      </c>
      <c r="C16" s="18">
        <v>19923</v>
      </c>
      <c r="D16" s="8"/>
    </row>
    <row r="17" spans="2:4" ht="12.6" thickBot="1" x14ac:dyDescent="0.3">
      <c r="B17" s="11" t="s">
        <v>4</v>
      </c>
      <c r="C17" s="19">
        <f>SUM(C14:C16)</f>
        <v>49379</v>
      </c>
      <c r="D17" s="9"/>
    </row>
    <row r="18" spans="2:4" ht="12" thickTop="1" x14ac:dyDescent="0.2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7"/>
  <sheetViews>
    <sheetView zoomScaleNormal="100" workbookViewId="0">
      <selection activeCell="B5" sqref="B5"/>
    </sheetView>
  </sheetViews>
  <sheetFormatPr defaultRowHeight="11.4" x14ac:dyDescent="0.2"/>
  <cols>
    <col min="1" max="1" width="2" style="3" customWidth="1"/>
    <col min="2" max="2" width="12.109375" style="3" customWidth="1"/>
    <col min="3" max="3" width="10.109375" style="3" customWidth="1"/>
    <col min="4" max="4" width="20.109375" style="3" customWidth="1"/>
    <col min="5" max="16384" width="8.88671875" style="3"/>
  </cols>
  <sheetData>
    <row r="1" spans="2:4" ht="15.6" x14ac:dyDescent="0.3">
      <c r="B1" s="1" t="s">
        <v>30</v>
      </c>
    </row>
    <row r="2" spans="2:4" ht="12" x14ac:dyDescent="0.25">
      <c r="B2" s="2" t="s">
        <v>7</v>
      </c>
    </row>
    <row r="4" spans="2:4" ht="12" x14ac:dyDescent="0.25">
      <c r="B4" s="2"/>
      <c r="D4" s="8"/>
    </row>
    <row r="5" spans="2:4" ht="12" x14ac:dyDescent="0.25">
      <c r="B5" s="2"/>
      <c r="D5" s="9"/>
    </row>
    <row r="6" spans="2:4" x14ac:dyDescent="0.2">
      <c r="D6" s="9"/>
    </row>
    <row r="7" spans="2:4" x14ac:dyDescent="0.2">
      <c r="D7" s="9"/>
    </row>
    <row r="8" spans="2:4" ht="12" x14ac:dyDescent="0.25">
      <c r="B8" s="2" t="s">
        <v>20</v>
      </c>
    </row>
    <row r="10" spans="2:4" ht="12.6" thickBot="1" x14ac:dyDescent="0.3">
      <c r="B10" s="4"/>
      <c r="C10" s="7" t="s">
        <v>0</v>
      </c>
    </row>
    <row r="11" spans="2:4" ht="12" x14ac:dyDescent="0.25">
      <c r="B11" s="10" t="s">
        <v>11</v>
      </c>
      <c r="C11" s="18">
        <v>12327</v>
      </c>
    </row>
    <row r="12" spans="2:4" ht="12" x14ac:dyDescent="0.25">
      <c r="B12" s="2" t="s">
        <v>12</v>
      </c>
      <c r="C12" s="18">
        <v>17129</v>
      </c>
    </row>
    <row r="13" spans="2:4" ht="12.6" thickBot="1" x14ac:dyDescent="0.3">
      <c r="B13" s="2" t="s">
        <v>13</v>
      </c>
      <c r="C13" s="18">
        <v>19923</v>
      </c>
    </row>
    <row r="14" spans="2:4" ht="12.6" thickBot="1" x14ac:dyDescent="0.3">
      <c r="B14" s="11" t="s">
        <v>4</v>
      </c>
      <c r="C14" s="19">
        <f>SUM(C11:C13)</f>
        <v>49379</v>
      </c>
      <c r="D14" s="8"/>
    </row>
    <row r="15" spans="2:4" ht="12" thickTop="1" x14ac:dyDescent="0.2">
      <c r="D15" s="9"/>
    </row>
    <row r="16" spans="2:4" x14ac:dyDescent="0.2">
      <c r="B16" s="16"/>
      <c r="D16" s="9"/>
    </row>
    <row r="17" spans="2:4" x14ac:dyDescent="0.2">
      <c r="B17" s="16" t="s">
        <v>21</v>
      </c>
      <c r="D17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6"/>
  <sheetViews>
    <sheetView tabSelected="1" zoomScaleNormal="100" workbookViewId="0">
      <selection activeCell="E23" sqref="E23"/>
    </sheetView>
  </sheetViews>
  <sheetFormatPr defaultRowHeight="11.4" x14ac:dyDescent="0.2"/>
  <cols>
    <col min="1" max="1" width="2" style="3" customWidth="1"/>
    <col min="2" max="2" width="12.6640625" style="3" customWidth="1"/>
    <col min="3" max="3" width="10.109375" style="3" customWidth="1"/>
    <col min="4" max="4" width="20.109375" style="3" customWidth="1"/>
    <col min="5" max="5" width="18.33203125" style="3" bestFit="1" customWidth="1"/>
    <col min="6" max="16384" width="8.88671875" style="3"/>
  </cols>
  <sheetData>
    <row r="1" spans="2:5" ht="15.6" x14ac:dyDescent="0.3">
      <c r="B1" s="1" t="s">
        <v>30</v>
      </c>
    </row>
    <row r="2" spans="2:5" ht="12" x14ac:dyDescent="0.25">
      <c r="B2" s="2" t="s">
        <v>7</v>
      </c>
    </row>
    <row r="4" spans="2:5" ht="12" x14ac:dyDescent="0.25">
      <c r="B4" s="2" t="s">
        <v>5</v>
      </c>
      <c r="C4" s="3" t="s">
        <v>14</v>
      </c>
      <c r="D4" s="8"/>
    </row>
    <row r="5" spans="2:5" ht="12" x14ac:dyDescent="0.25">
      <c r="B5" s="2" t="s">
        <v>15</v>
      </c>
      <c r="C5" s="3" t="s">
        <v>18</v>
      </c>
      <c r="D5" s="9"/>
    </row>
    <row r="6" spans="2:5" ht="12" x14ac:dyDescent="0.25">
      <c r="B6" s="2" t="s">
        <v>16</v>
      </c>
      <c r="C6" s="3" t="s">
        <v>17</v>
      </c>
    </row>
    <row r="9" spans="2:5" ht="12" x14ac:dyDescent="0.25">
      <c r="B9" s="2" t="s">
        <v>20</v>
      </c>
      <c r="D9" s="9"/>
    </row>
    <row r="10" spans="2:5" ht="12" x14ac:dyDescent="0.25">
      <c r="B10" s="2"/>
      <c r="D10" s="9"/>
    </row>
    <row r="11" spans="2:5" ht="12.6" thickBot="1" x14ac:dyDescent="0.3">
      <c r="B11" s="4"/>
      <c r="C11" s="7" t="s">
        <v>0</v>
      </c>
      <c r="D11" s="7" t="s">
        <v>3</v>
      </c>
      <c r="E11" s="7" t="s">
        <v>19</v>
      </c>
    </row>
    <row r="12" spans="2:5" ht="12" x14ac:dyDescent="0.25">
      <c r="B12" s="10" t="s">
        <v>11</v>
      </c>
      <c r="C12" s="18">
        <v>12327</v>
      </c>
      <c r="D12" s="6">
        <f>C12/$C$15</f>
        <v>0.24964053545029263</v>
      </c>
      <c r="E12" s="14">
        <f>D12</f>
        <v>0.24964053545029263</v>
      </c>
    </row>
    <row r="13" spans="2:5" ht="12" x14ac:dyDescent="0.25">
      <c r="B13" s="2" t="s">
        <v>12</v>
      </c>
      <c r="C13" s="18">
        <v>17129</v>
      </c>
      <c r="D13" s="6">
        <f>C13/$C$15</f>
        <v>0.34688835334858947</v>
      </c>
      <c r="E13" s="14">
        <f t="shared" ref="E13:E15" si="0">D13</f>
        <v>0.34688835334858947</v>
      </c>
    </row>
    <row r="14" spans="2:5" ht="12.6" thickBot="1" x14ac:dyDescent="0.3">
      <c r="B14" s="2" t="s">
        <v>13</v>
      </c>
      <c r="C14" s="18">
        <v>19923</v>
      </c>
      <c r="D14" s="6">
        <f>C14/$C$15</f>
        <v>0.40347111120111789</v>
      </c>
      <c r="E14" s="14">
        <f t="shared" si="0"/>
        <v>0.40347111120111789</v>
      </c>
    </row>
    <row r="15" spans="2:5" ht="12.6" thickBot="1" x14ac:dyDescent="0.3">
      <c r="B15" s="11" t="s">
        <v>4</v>
      </c>
      <c r="C15" s="19">
        <f>SUM(C12:C14)</f>
        <v>49379</v>
      </c>
      <c r="D15" s="12">
        <f>SUM(D12:D14)</f>
        <v>1</v>
      </c>
      <c r="E15" s="15">
        <f t="shared" si="0"/>
        <v>1</v>
      </c>
    </row>
    <row r="16" spans="2:5" ht="12" thickTop="1" x14ac:dyDescent="0.2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19"/>
  <sheetViews>
    <sheetView topLeftCell="A5" zoomScaleNormal="100" workbookViewId="0">
      <selection activeCell="E22" sqref="E22"/>
    </sheetView>
  </sheetViews>
  <sheetFormatPr defaultRowHeight="11.4" x14ac:dyDescent="0.2"/>
  <cols>
    <col min="1" max="1" width="2" style="3" customWidth="1"/>
    <col min="2" max="2" width="12.21875" style="3" customWidth="1"/>
    <col min="3" max="3" width="10.109375" style="3" customWidth="1"/>
    <col min="4" max="4" width="18.21875" style="3" customWidth="1"/>
    <col min="5" max="5" width="21.5546875" style="3" customWidth="1"/>
    <col min="6" max="16384" width="8.88671875" style="3"/>
  </cols>
  <sheetData>
    <row r="1" spans="2:5" ht="15.6" x14ac:dyDescent="0.3">
      <c r="B1" s="1" t="s">
        <v>30</v>
      </c>
    </row>
    <row r="2" spans="2:5" ht="12" x14ac:dyDescent="0.25">
      <c r="B2" s="2" t="s">
        <v>7</v>
      </c>
    </row>
    <row r="4" spans="2:5" ht="12" x14ac:dyDescent="0.25">
      <c r="B4" s="2" t="s">
        <v>5</v>
      </c>
      <c r="C4" s="3" t="s">
        <v>22</v>
      </c>
    </row>
    <row r="5" spans="2:5" ht="12" x14ac:dyDescent="0.25">
      <c r="B5" s="2" t="s">
        <v>15</v>
      </c>
      <c r="C5" s="3" t="s">
        <v>23</v>
      </c>
    </row>
    <row r="6" spans="2:5" ht="12" x14ac:dyDescent="0.25">
      <c r="B6" s="2" t="s">
        <v>16</v>
      </c>
      <c r="C6" s="3" t="s">
        <v>24</v>
      </c>
    </row>
    <row r="7" spans="2:5" ht="12" x14ac:dyDescent="0.25">
      <c r="B7" s="2" t="s">
        <v>25</v>
      </c>
      <c r="C7" s="3" t="s">
        <v>26</v>
      </c>
    </row>
    <row r="8" spans="2:5" ht="12" x14ac:dyDescent="0.25">
      <c r="B8" s="2" t="s">
        <v>27</v>
      </c>
      <c r="C8" s="3" t="s">
        <v>28</v>
      </c>
      <c r="D8" s="8"/>
    </row>
    <row r="9" spans="2:5" ht="12" x14ac:dyDescent="0.25">
      <c r="B9" s="2"/>
      <c r="D9" s="9"/>
    </row>
    <row r="10" spans="2:5" ht="12" x14ac:dyDescent="0.25">
      <c r="B10" s="2" t="s">
        <v>20</v>
      </c>
      <c r="D10" s="9"/>
    </row>
    <row r="11" spans="2:5" ht="12" x14ac:dyDescent="0.25">
      <c r="B11" s="2"/>
      <c r="D11" s="9"/>
    </row>
    <row r="12" spans="2:5" ht="12.6" thickBot="1" x14ac:dyDescent="0.3">
      <c r="B12" s="5" t="s">
        <v>1</v>
      </c>
      <c r="C12" s="7" t="s">
        <v>0</v>
      </c>
      <c r="D12" s="7" t="s">
        <v>3</v>
      </c>
      <c r="E12" s="7" t="s">
        <v>2</v>
      </c>
    </row>
    <row r="13" spans="2:5" ht="12" x14ac:dyDescent="0.25">
      <c r="B13" s="2" t="s">
        <v>13</v>
      </c>
      <c r="C13" s="18">
        <v>19923</v>
      </c>
      <c r="D13" s="13">
        <f>C13/$C$16</f>
        <v>0.40347111120111789</v>
      </c>
      <c r="E13" s="6">
        <f>D13</f>
        <v>0.40347111120111789</v>
      </c>
    </row>
    <row r="14" spans="2:5" ht="12" x14ac:dyDescent="0.25">
      <c r="B14" s="2" t="s">
        <v>12</v>
      </c>
      <c r="C14" s="18">
        <v>17129</v>
      </c>
      <c r="D14" s="13">
        <f t="shared" ref="D14:D15" si="0">C14/$C$16</f>
        <v>0.34688835334858947</v>
      </c>
      <c r="E14" s="6">
        <f>E13+D14</f>
        <v>0.75035946454970737</v>
      </c>
    </row>
    <row r="15" spans="2:5" ht="12.6" thickBot="1" x14ac:dyDescent="0.3">
      <c r="B15" s="2" t="s">
        <v>11</v>
      </c>
      <c r="C15" s="18">
        <v>12327</v>
      </c>
      <c r="D15" s="13">
        <f t="shared" si="0"/>
        <v>0.24964053545029263</v>
      </c>
      <c r="E15" s="6">
        <f>E14+D15</f>
        <v>1</v>
      </c>
    </row>
    <row r="16" spans="2:5" ht="12.6" thickBot="1" x14ac:dyDescent="0.3">
      <c r="B16" s="11" t="s">
        <v>4</v>
      </c>
      <c r="C16" s="19">
        <f>SUM(C13:C15)</f>
        <v>49379</v>
      </c>
      <c r="D16" s="12">
        <f>SUM(D13:D15)</f>
        <v>1</v>
      </c>
      <c r="E16" s="13"/>
    </row>
    <row r="17" spans="6:6" ht="12" thickTop="1" x14ac:dyDescent="0.2"/>
    <row r="19" spans="6:6" ht="14.4" x14ac:dyDescent="0.3">
      <c r="F19" s="17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Frequency distribution table</vt:lpstr>
      <vt:lpstr>Bar chart</vt:lpstr>
      <vt:lpstr>Pie chart</vt:lpstr>
      <vt:lpstr>Pareto 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2025-12-24T07:17:58Z</dcterms:modified>
</cp:coreProperties>
</file>